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Data Analysis\Excel\"/>
    </mc:Choice>
  </mc:AlternateContent>
  <xr:revisionPtr revIDLastSave="0" documentId="13_ncr:1_{ABD5224B-9988-404A-B7B6-7FB643F957D6}" xr6:coauthVersionLast="47" xr6:coauthVersionMax="47" xr10:uidLastSave="{00000000-0000-0000-0000-000000000000}"/>
  <bookViews>
    <workbookView xWindow="-110" yWindow="-110" windowWidth="19420" windowHeight="11500" firstSheet="1" activeTab="3" xr2:uid="{586C0111-CBE9-4C4B-8B7B-717849CEAEAF}"/>
  </bookViews>
  <sheets>
    <sheet name="expense_data_1" sheetId="1" r:id="rId1"/>
    <sheet name="Detail1" sheetId="3" r:id="rId2"/>
    <sheet name="Calculations" sheetId="2" r:id="rId3"/>
    <sheet name="Dashboard" sheetId="4" r:id="rId4"/>
  </sheets>
  <definedNames>
    <definedName name="_xlnm._FilterDatabase" localSheetId="0" hidden="1">expense_data_1!$A$2:$F$279</definedName>
  </definedNames>
  <calcPr calcId="191029"/>
  <pivotCaches>
    <pivotCache cacheId="0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B2" i="2"/>
  <c r="A2" i="2"/>
  <c r="B23" i="2"/>
  <c r="C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<sst xmlns="http://schemas.openxmlformats.org/spreadsheetml/2006/main" count="2197" uniqueCount="195">
  <si>
    <t>Date</t>
  </si>
  <si>
    <t>Account</t>
  </si>
  <si>
    <t>Category</t>
  </si>
  <si>
    <t>Note</t>
  </si>
  <si>
    <t>Income/Expense</t>
  </si>
  <si>
    <t>CUB - online payment</t>
  </si>
  <si>
    <t>Food</t>
  </si>
  <si>
    <t>Brownie</t>
  </si>
  <si>
    <t>Expense</t>
  </si>
  <si>
    <t>Other</t>
  </si>
  <si>
    <t>To lended people</t>
  </si>
  <si>
    <t>Dinner</t>
  </si>
  <si>
    <t>Transportation</t>
  </si>
  <si>
    <t>Metro</t>
  </si>
  <si>
    <t>Snacks</t>
  </si>
  <si>
    <t>From vicky</t>
  </si>
  <si>
    <t>Income</t>
  </si>
  <si>
    <t>From dad</t>
  </si>
  <si>
    <t>Pizza</t>
  </si>
  <si>
    <t>From kumara</t>
  </si>
  <si>
    <t>Lunch</t>
  </si>
  <si>
    <t>To karthi</t>
  </si>
  <si>
    <t>Social Life</t>
  </si>
  <si>
    <t>Tea lights</t>
  </si>
  <si>
    <t>Household</t>
  </si>
  <si>
    <t>Creamstone</t>
  </si>
  <si>
    <t>Tamen</t>
  </si>
  <si>
    <t>Apparel</t>
  </si>
  <si>
    <t>Hoodie for gobi</t>
  </si>
  <si>
    <t>Eggs</t>
  </si>
  <si>
    <t>Earphone</t>
  </si>
  <si>
    <t>Auto to laxmi mills</t>
  </si>
  <si>
    <t>It better be worth it</t>
  </si>
  <si>
    <t>Travel to koyambedu</t>
  </si>
  <si>
    <t>Stuffs</t>
  </si>
  <si>
    <t>Train cbe to chn</t>
  </si>
  <si>
    <t>Random stuff for drinks</t>
  </si>
  <si>
    <t>Bus ticket</t>
  </si>
  <si>
    <t>Took from sbi</t>
  </si>
  <si>
    <t>Ramen with gobi</t>
  </si>
  <si>
    <t>To auto anna</t>
  </si>
  <si>
    <t>To egmore</t>
  </si>
  <si>
    <t>Kfc dinner</t>
  </si>
  <si>
    <t>Side dishes</t>
  </si>
  <si>
    <t xml:space="preserve">Kfc </t>
  </si>
  <si>
    <t xml:space="preserve">Games </t>
  </si>
  <si>
    <t>Dinner with aravind and buddies</t>
  </si>
  <si>
    <t>Mirror</t>
  </si>
  <si>
    <t>Dinner with aravind</t>
  </si>
  <si>
    <t>Bean bag</t>
  </si>
  <si>
    <t>Auto to Gobi's place</t>
  </si>
  <si>
    <t>Cakepark</t>
  </si>
  <si>
    <t>To kumara</t>
  </si>
  <si>
    <t>To chennai</t>
  </si>
  <si>
    <t>Salary from dad</t>
  </si>
  <si>
    <t>To gobi</t>
  </si>
  <si>
    <t>Shawarma</t>
  </si>
  <si>
    <t>Good soup</t>
  </si>
  <si>
    <t>To gowdham</t>
  </si>
  <si>
    <t>Parotta</t>
  </si>
  <si>
    <t>Vnr to apk</t>
  </si>
  <si>
    <t>To vicky</t>
  </si>
  <si>
    <t>To ksr station</t>
  </si>
  <si>
    <t xml:space="preserve">Cycle gap </t>
  </si>
  <si>
    <t>Brunch</t>
  </si>
  <si>
    <t>Rapido to pg</t>
  </si>
  <si>
    <t>Sent to barath</t>
  </si>
  <si>
    <t>Banana</t>
  </si>
  <si>
    <t>Lunch with company</t>
  </si>
  <si>
    <t>To vishnu</t>
  </si>
  <si>
    <t>Zinger box meal</t>
  </si>
  <si>
    <t>Vishnu 100 gowdham 25</t>
  </si>
  <si>
    <t>Paani poori</t>
  </si>
  <si>
    <t>Kfc date with myself</t>
  </si>
  <si>
    <t>Lemon tea</t>
  </si>
  <si>
    <t>Train to vnr</t>
  </si>
  <si>
    <t>Snack</t>
  </si>
  <si>
    <t>Pepsi</t>
  </si>
  <si>
    <t>Sent to vicky</t>
  </si>
  <si>
    <t>Snacks with preethi and azar</t>
  </si>
  <si>
    <t>Badminton</t>
  </si>
  <si>
    <t>Lunch + chocolate for preethi</t>
  </si>
  <si>
    <t>Snack with preethi</t>
  </si>
  <si>
    <t>Eve snack</t>
  </si>
  <si>
    <t>Bus to Bangalore</t>
  </si>
  <si>
    <t>Kumara</t>
  </si>
  <si>
    <t>Siva + 100 cash</t>
  </si>
  <si>
    <t>Gundan + prasanna</t>
  </si>
  <si>
    <t>Dinesh and maddy + 100 cash</t>
  </si>
  <si>
    <t>From gowdham</t>
  </si>
  <si>
    <t>Lunch pongal</t>
  </si>
  <si>
    <t>Recharge by gowdham</t>
  </si>
  <si>
    <t>Lunch with not preethi</t>
  </si>
  <si>
    <t>Friday snacks with preethi gang</t>
  </si>
  <si>
    <t>Lunch with gowdham</t>
  </si>
  <si>
    <t>Rent</t>
  </si>
  <si>
    <t>Coffee + biscuit</t>
  </si>
  <si>
    <t>From barath and shakur</t>
  </si>
  <si>
    <t>Ketch up</t>
  </si>
  <si>
    <t>Dinner with roommate</t>
  </si>
  <si>
    <t>Bingo</t>
  </si>
  <si>
    <t>McDonald's with company</t>
  </si>
  <si>
    <t>Lended money returned to vishnu</t>
  </si>
  <si>
    <t>Lended money returned to kumara</t>
  </si>
  <si>
    <t>Jan 2nd with shakur and barath</t>
  </si>
  <si>
    <t>To gobi 1st 1/4th</t>
  </si>
  <si>
    <t>To abijith and to vicky lend money returned</t>
  </si>
  <si>
    <t>Refund for bus ticket</t>
  </si>
  <si>
    <t>Education</t>
  </si>
  <si>
    <t>Arrear and reval fee</t>
  </si>
  <si>
    <t>Salary</t>
  </si>
  <si>
    <t>Sent to preethi</t>
  </si>
  <si>
    <t>Dairy milk</t>
  </si>
  <si>
    <t>From barath</t>
  </si>
  <si>
    <t>From gpay</t>
  </si>
  <si>
    <t>From shakur</t>
  </si>
  <si>
    <t>Lunch unlimited nv</t>
  </si>
  <si>
    <t>From abi</t>
  </si>
  <si>
    <t>Tablet to gowdham</t>
  </si>
  <si>
    <t>Dinner with barath</t>
  </si>
  <si>
    <t>Allowance</t>
  </si>
  <si>
    <t>To barath</t>
  </si>
  <si>
    <t>Pg to office</t>
  </si>
  <si>
    <t>Horlicks + kolakattai</t>
  </si>
  <si>
    <t>Bommasandra to pg</t>
  </si>
  <si>
    <t>From Deepak</t>
  </si>
  <si>
    <t>Water</t>
  </si>
  <si>
    <t>Rapido + toll</t>
  </si>
  <si>
    <t>Coffee and thattai</t>
  </si>
  <si>
    <t>Lunch with barath</t>
  </si>
  <si>
    <t>From ganesan</t>
  </si>
  <si>
    <t>Coconut water with stu</t>
  </si>
  <si>
    <t>Cab</t>
  </si>
  <si>
    <t>Self-development</t>
  </si>
  <si>
    <t>Books</t>
  </si>
  <si>
    <t>Corn</t>
  </si>
  <si>
    <t>Milk with bharath</t>
  </si>
  <si>
    <t>Beer</t>
  </si>
  <si>
    <t>Lemon tea with company</t>
  </si>
  <si>
    <t>Puffs and coffee</t>
  </si>
  <si>
    <t>Puffs</t>
  </si>
  <si>
    <t>Bun</t>
  </si>
  <si>
    <t>Taxi</t>
  </si>
  <si>
    <t>To siva</t>
  </si>
  <si>
    <t>To abijith</t>
  </si>
  <si>
    <t>To rahul</t>
  </si>
  <si>
    <t>Lended money</t>
  </si>
  <si>
    <t xml:space="preserve">Spiderman </t>
  </si>
  <si>
    <t>Gave to gowdham</t>
  </si>
  <si>
    <t>Egg</t>
  </si>
  <si>
    <t>Panipoori</t>
  </si>
  <si>
    <t>From stu</t>
  </si>
  <si>
    <t>Shopping</t>
  </si>
  <si>
    <t>Momos</t>
  </si>
  <si>
    <t>Snack with bharath</t>
  </si>
  <si>
    <t>Breakfast with stu</t>
  </si>
  <si>
    <t>Lunch with stu</t>
  </si>
  <si>
    <t>Cash</t>
  </si>
  <si>
    <t>5 star</t>
  </si>
  <si>
    <t>Milk</t>
  </si>
  <si>
    <t>Horlicks</t>
  </si>
  <si>
    <t>Shoe</t>
  </si>
  <si>
    <t>Cap</t>
  </si>
  <si>
    <t>Full hand and a hoodie</t>
  </si>
  <si>
    <t>For company</t>
  </si>
  <si>
    <t>Breakfast</t>
  </si>
  <si>
    <t>Belt</t>
  </si>
  <si>
    <t>Mask</t>
  </si>
  <si>
    <t>Ice cream</t>
  </si>
  <si>
    <t>Vadapaav</t>
  </si>
  <si>
    <t>Beauty</t>
  </si>
  <si>
    <t>Showergel</t>
  </si>
  <si>
    <t>Gift</t>
  </si>
  <si>
    <t>Bharath birthday</t>
  </si>
  <si>
    <t>Zomato</t>
  </si>
  <si>
    <t>Dinner with gowdham</t>
  </si>
  <si>
    <t>Rapido</t>
  </si>
  <si>
    <t>Petty cash</t>
  </si>
  <si>
    <t>Cashback</t>
  </si>
  <si>
    <t>Got from gobi</t>
  </si>
  <si>
    <t>N/A</t>
  </si>
  <si>
    <t>Total Expense</t>
  </si>
  <si>
    <t>Total Income</t>
  </si>
  <si>
    <t>Total Savings</t>
  </si>
  <si>
    <t>Grand Total</t>
  </si>
  <si>
    <t>Sum of Account2</t>
  </si>
  <si>
    <t>Column Labels</t>
  </si>
  <si>
    <t>(All)</t>
  </si>
  <si>
    <t>Categories</t>
  </si>
  <si>
    <t>Other Items</t>
  </si>
  <si>
    <t>Account2</t>
  </si>
  <si>
    <t>Details for Total Expense - Other Items: (blank)</t>
  </si>
  <si>
    <t>Row Labels</t>
  </si>
  <si>
    <t>Sum of Expense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</si>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</sst>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" fillId="18" borderId="0" xfId="27" applyBorder="1" applyAlignment="1">
      <alignment horizontal="left"/>
    </xf>
    <xf numFmtId="164" fontId="1" fillId="18" borderId="0" xfId="27" applyNumberFormat="1" applyBorder="1"/>
    <xf numFmtId="0" fontId="18" fillId="33" borderId="0" xfId="27" applyFont="1" applyFill="1" applyBorder="1"/>
    <xf numFmtId="164" fontId="1" fillId="18" borderId="0" xfId="27" applyNumberFormat="1" applyBorder="1" applyAlignment="1">
      <alignment vertical="top"/>
    </xf>
    <xf numFmtId="0" fontId="1" fillId="18" borderId="0" xfId="27" applyBorder="1" applyAlignment="1">
      <alignment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m/d/yyyy\ h:mm"/>
    </dxf>
  </dxfs>
  <tableStyles count="0" defaultTableStyle="TableStyleMedium2" defaultPivotStyle="PivotStyleLight16"/>
  <colors>
    <mruColors>
      <color rgb="FF2642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[expense_tracker.xlsx]Calculations!PivotTable2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Other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Calculations!$G$5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0E6-4E26-96E2-21DE523ECA2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E6-4E26-96E2-21DE523ECA2F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0E6-4E26-96E2-21DE523ECA2F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0E6-4E26-96E2-21DE523ECA2F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E6-4E26-96E2-21DE523ECA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Calculations!$F$6:$F$11</c:f>
              <c:strCache>
                <c:ptCount val="5"/>
                <c:pt idx="0">
                  <c:v>Recharge by gowdham</c:v>
                </c:pt>
                <c:pt idx="1">
                  <c:v>To abijith and to vicky lend money returned</c:v>
                </c:pt>
                <c:pt idx="2">
                  <c:v>To gobi</c:v>
                </c:pt>
                <c:pt idx="3">
                  <c:v>To gobi 1st 1/4th</c:v>
                </c:pt>
                <c:pt idx="4">
                  <c:v>To vicky</c:v>
                </c:pt>
              </c:strCache>
            </c:strRef>
          </c:cat>
          <c:val>
            <c:numRef>
              <c:f>Calculations!$G$6:$G$11</c:f>
              <c:numCache>
                <c:formatCode>General</c:formatCode>
                <c:ptCount val="5"/>
                <c:pt idx="0">
                  <c:v>479</c:v>
                </c:pt>
                <c:pt idx="1">
                  <c:v>500</c:v>
                </c:pt>
                <c:pt idx="2">
                  <c:v>1500</c:v>
                </c:pt>
                <c:pt idx="3">
                  <c:v>500</c:v>
                </c:pt>
                <c:pt idx="4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6-4E26-96E2-21DE523ECA2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54210034090567"/>
          <c:y val="0.20699302704197084"/>
          <c:w val="0.30406709506139318"/>
          <c:h val="0.784320481066627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74000">
          <a:schemeClr val="accent6">
            <a:lumMod val="45000"/>
            <a:lumOff val="55000"/>
          </a:schemeClr>
        </a:gs>
        <a:gs pos="83000">
          <a:schemeClr val="accent6">
            <a:lumMod val="45000"/>
            <a:lumOff val="55000"/>
          </a:schemeClr>
        </a:gs>
        <a:gs pos="100000">
          <a:schemeClr val="accent6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[expense_tracker.xlsx]Calculations!PivotTable2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</a:t>
            </a:r>
            <a:r>
              <a:rPr lang="en-US" b="1" baseline="0">
                <a:solidFill>
                  <a:sysClr val="windowText" lastClr="000000"/>
                </a:solidFill>
              </a:rPr>
              <a:t> 5 Other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tx1">
              <a:lumMod val="65000"/>
              <a:lumOff val="3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Calculations!$G$5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8A-4A37-B37D-BCDDEC2CEE79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8A-4A37-B37D-BCDDEC2CEE79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8A-4A37-B37D-BCDDEC2CEE79}"/>
              </c:ext>
            </c:extLst>
          </c:dPt>
          <c:dPt>
            <c:idx val="3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8A-4A37-B37D-BCDDEC2CEE79}"/>
              </c:ext>
            </c:extLst>
          </c:dPt>
          <c:dPt>
            <c:idx val="4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8A-4A37-B37D-BCDDEC2CE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Calculations!$F$6:$F$11</c:f>
              <c:strCache>
                <c:ptCount val="5"/>
                <c:pt idx="0">
                  <c:v>Recharge by gowdham</c:v>
                </c:pt>
                <c:pt idx="1">
                  <c:v>To abijith and to vicky lend money returned</c:v>
                </c:pt>
                <c:pt idx="2">
                  <c:v>To gobi</c:v>
                </c:pt>
                <c:pt idx="3">
                  <c:v>To gobi 1st 1/4th</c:v>
                </c:pt>
                <c:pt idx="4">
                  <c:v>To vicky</c:v>
                </c:pt>
              </c:strCache>
            </c:strRef>
          </c:cat>
          <c:val>
            <c:numRef>
              <c:f>Calculations!$G$6:$G$11</c:f>
              <c:numCache>
                <c:formatCode>General</c:formatCode>
                <c:ptCount val="5"/>
                <c:pt idx="0">
                  <c:v>479</c:v>
                </c:pt>
                <c:pt idx="1">
                  <c:v>500</c:v>
                </c:pt>
                <c:pt idx="2">
                  <c:v>1500</c:v>
                </c:pt>
                <c:pt idx="3">
                  <c:v>500</c:v>
                </c:pt>
                <c:pt idx="4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8A-4A37-B37D-BCDDEC2CEE7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638914103565476"/>
          <c:y val="0.17714231989658008"/>
          <c:w val="0.38449599966224063"/>
          <c:h val="0.80530497120695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825501</xdr:colOff>
      <xdr:row>11</xdr:row>
      <xdr:rowOff>174625</xdr:rowOff>
    </xdr:from>
    <xdr:to>
      <xdr:col>6</xdr:col>
      <xdr:colOff>977901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5264B-EE67-AEB3-82BE-95238034B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120650</xdr:rowOff>
    </xdr:from>
    <xdr:to>
      <xdr:col>10</xdr:col>
      <xdr:colOff>49696</xdr:colOff>
      <xdr:row>4</xdr:row>
      <xdr:rowOff>57150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7E7803D-8BC2-0B90-C40B-0473F2118EA8}"/>
            </a:ext>
          </a:extLst>
        </xdr:cNvPr>
        <xdr:cNvSpPr/>
      </xdr:nvSpPr>
      <xdr:spPr>
        <a:xfrm>
          <a:off x="95250" y="120650"/>
          <a:ext cx="7149272" cy="665370"/>
        </a:xfrm>
        <a:prstGeom prst="roundRect">
          <a:avLst/>
        </a:prstGeom>
        <a:solidFill>
          <a:schemeClr val="bg2"/>
        </a:solidFill>
        <a:ln w="508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3200">
              <a:solidFill>
                <a:sysClr val="windowText" lastClr="000000"/>
              </a:solidFill>
            </a:rPr>
            <a:t>	Personal</a:t>
          </a:r>
          <a:r>
            <a:rPr lang="en-US" sz="3200" baseline="0">
              <a:solidFill>
                <a:sysClr val="windowText" lastClr="000000"/>
              </a:solidFill>
            </a:rPr>
            <a:t>  Budget Summary </a:t>
          </a:r>
          <a:r>
            <a:rPr lang="en-US" sz="3200" baseline="-25000">
              <a:solidFill>
                <a:sysClr val="windowText" lastClr="000000"/>
              </a:solidFill>
            </a:rPr>
            <a:t>(2021-2022)</a:t>
          </a:r>
        </a:p>
      </xdr:txBody>
    </xdr:sp>
    <xdr:clientData/>
  </xdr:twoCellAnchor>
  <xdr:twoCellAnchor>
    <xdr:from>
      <xdr:col>5</xdr:col>
      <xdr:colOff>101600</xdr:colOff>
      <xdr:row>4</xdr:row>
      <xdr:rowOff>152400</xdr:rowOff>
    </xdr:from>
    <xdr:to>
      <xdr:col>9</xdr:col>
      <xdr:colOff>88900</xdr:colOff>
      <xdr:row>6</xdr:row>
      <xdr:rowOff>88900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A187638-2D11-BA41-BFB2-B80CC4B7563C}"/>
            </a:ext>
          </a:extLst>
        </xdr:cNvPr>
        <xdr:cNvSpPr/>
      </xdr:nvSpPr>
      <xdr:spPr>
        <a:xfrm>
          <a:off x="3987800" y="889000"/>
          <a:ext cx="2425700" cy="304800"/>
        </a:xfrm>
        <a:prstGeom prst="roundRect">
          <a:avLst/>
        </a:prstGeom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317500</xdr:colOff>
      <xdr:row>4</xdr:row>
      <xdr:rowOff>152400</xdr:rowOff>
    </xdr:from>
    <xdr:to>
      <xdr:col>6</xdr:col>
      <xdr:colOff>469900</xdr:colOff>
      <xdr:row>6</xdr:row>
      <xdr:rowOff>76200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1C3765BB-C27D-F91F-0110-F8E7E1A3D795}"/>
            </a:ext>
          </a:extLst>
        </xdr:cNvPr>
        <xdr:cNvSpPr txBox="1">
          <a:spLocks noChangeArrowheads="1"/>
        </xdr:cNvSpPr>
      </xdr:nvSpPr>
      <xdr:spPr bwMode="auto">
        <a:xfrm>
          <a:off x="4203700" y="889000"/>
          <a:ext cx="762000" cy="342900"/>
        </a:xfrm>
        <a:custGeom>
          <a:avLst/>
          <a:gdLst>
            <a:gd name="connsiteX0" fmla="*/ 0 w 1206500"/>
            <a:gd name="connsiteY0" fmla="*/ 0 h 292100"/>
            <a:gd name="connsiteX1" fmla="*/ 1206500 w 1206500"/>
            <a:gd name="connsiteY1" fmla="*/ 0 h 292100"/>
            <a:gd name="connsiteX2" fmla="*/ 1206500 w 1206500"/>
            <a:gd name="connsiteY2" fmla="*/ 292100 h 292100"/>
            <a:gd name="connsiteX3" fmla="*/ 0 w 1206500"/>
            <a:gd name="connsiteY3" fmla="*/ 292100 h 292100"/>
            <a:gd name="connsiteX4" fmla="*/ 0 w 1206500"/>
            <a:gd name="connsiteY4" fmla="*/ 0 h 292100"/>
            <a:gd name="connsiteX0" fmla="*/ 0 w 1206636"/>
            <a:gd name="connsiteY0" fmla="*/ 0 h 292100"/>
            <a:gd name="connsiteX1" fmla="*/ 1206500 w 1206636"/>
            <a:gd name="connsiteY1" fmla="*/ 0 h 292100"/>
            <a:gd name="connsiteX2" fmla="*/ 1187450 w 1206636"/>
            <a:gd name="connsiteY2" fmla="*/ 146050 h 292100"/>
            <a:gd name="connsiteX3" fmla="*/ 1206500 w 1206636"/>
            <a:gd name="connsiteY3" fmla="*/ 292100 h 292100"/>
            <a:gd name="connsiteX4" fmla="*/ 0 w 1206636"/>
            <a:gd name="connsiteY4" fmla="*/ 292100 h 292100"/>
            <a:gd name="connsiteX5" fmla="*/ 0 w 1206636"/>
            <a:gd name="connsiteY5" fmla="*/ 0 h 2921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06636" h="292100">
              <a:moveTo>
                <a:pt x="0" y="0"/>
              </a:moveTo>
              <a:lnTo>
                <a:pt x="1206500" y="0"/>
              </a:lnTo>
              <a:cubicBezTo>
                <a:pt x="1208617" y="48683"/>
                <a:pt x="1185333" y="97367"/>
                <a:pt x="1187450" y="146050"/>
              </a:cubicBezTo>
              <a:lnTo>
                <a:pt x="1206500" y="292100"/>
              </a:lnTo>
              <a:lnTo>
                <a:pt x="0" y="292100"/>
              </a:lnTo>
              <a:lnTo>
                <a:pt x="0" y="0"/>
              </a:lnTo>
              <a:close/>
            </a:path>
          </a:pathLst>
        </a:cu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Profit   =   </a:t>
          </a:r>
        </a:p>
      </xdr:txBody>
    </xdr:sp>
    <xdr:clientData/>
  </xdr:twoCellAnchor>
  <xdr:twoCellAnchor>
    <xdr:from>
      <xdr:col>5</xdr:col>
      <xdr:colOff>50800</xdr:colOff>
      <xdr:row>6</xdr:row>
      <xdr:rowOff>171450</xdr:rowOff>
    </xdr:from>
    <xdr:to>
      <xdr:col>10</xdr:col>
      <xdr:colOff>88900</xdr:colOff>
      <xdr:row>20</xdr:row>
      <xdr:rowOff>146050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DE123FA-1F66-F76F-CC53-977E2DDB0D7C}"/>
            </a:ext>
          </a:extLst>
        </xdr:cNvPr>
        <xdr:cNvSpPr/>
      </xdr:nvSpPr>
      <xdr:spPr>
        <a:xfrm>
          <a:off x="3937000" y="1327150"/>
          <a:ext cx="3352800" cy="2552700"/>
        </a:xfrm>
        <a:prstGeom prst="roundRect">
          <a:avLst/>
        </a:prstGeom>
        <a:solidFill>
          <a:schemeClr val="bg1">
            <a:lumMod val="85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273050</xdr:colOff>
      <xdr:row>7</xdr:row>
      <xdr:rowOff>50800</xdr:rowOff>
    </xdr:from>
    <xdr:to>
      <xdr:col>9</xdr:col>
      <xdr:colOff>482600</xdr:colOff>
      <xdr:row>20</xdr:row>
      <xdr:rowOff>50800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3F2BB5-4569-4EAE-8313-41A81B285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65.789112384256" createdVersion="8" refreshedVersion="8" minRefreshableVersion="3" recordCount="277" xr:uid="{C1EE94F7-6008-4467-8B74-C1C666D72216}">
  <cacheSource type="worksheet">
    <worksheetSource ref="A2:F279" sheet="expense_data_1"/>
  </cacheSource>
  <cacheFields count="6">
    <cacheField name="Date" numFmtId="22">
      <sharedItems containsSemiMixedTypes="0" containsNonDate="0" containsDate="1" containsString="0" minDate="2021-11-21T13:30:00" maxDate="2022-03-02T10:11:00"/>
    </cacheField>
    <cacheField name="Account" numFmtId="0">
      <sharedItems/>
    </cacheField>
    <cacheField name="Category" numFmtId="0">
      <sharedItems count="13">
        <s v="Food"/>
        <s v="Other"/>
        <s v="Transportation"/>
        <s v="Social Life"/>
        <s v="Household"/>
        <s v="Apparel"/>
        <s v="Education"/>
        <s v="Salary"/>
        <s v="Allowance"/>
        <s v="Self-development"/>
        <s v="Beauty"/>
        <s v="Gift"/>
        <s v="Petty cash"/>
      </sharedItems>
    </cacheField>
    <cacheField name="Note" numFmtId="0">
      <sharedItems count="160">
        <s v="Brownie"/>
        <s v="To lended people"/>
        <s v="Dinner"/>
        <s v="Metro"/>
        <s v="Snacks"/>
        <s v="From vicky"/>
        <s v="From dad"/>
        <s v="Pizza"/>
        <s v="From kumara"/>
        <s v="Lunch"/>
        <s v="N/A"/>
        <s v="To karthi"/>
        <s v="Tea lights"/>
        <s v="Creamstone"/>
        <s v="Tamen"/>
        <s v="Hoodie for gobi"/>
        <s v="Eggs"/>
        <s v="Earphone"/>
        <s v="Auto to laxmi mills"/>
        <s v="It better be worth it"/>
        <s v="Travel to koyambedu"/>
        <s v="Stuffs"/>
        <s v="Train cbe to chn"/>
        <s v="Random stuff for drinks"/>
        <s v="Bus ticket"/>
        <s v="Took from sbi"/>
        <s v="Ramen with gobi"/>
        <s v="To auto anna"/>
        <s v="To egmore"/>
        <s v="Kfc dinner"/>
        <s v="Side dishes"/>
        <s v="Kfc "/>
        <s v="Games "/>
        <s v="Dinner with aravind and buddies"/>
        <s v="Mirror"/>
        <s v="Dinner with aravind"/>
        <s v="Bean bag"/>
        <s v="Auto to Gobi's place"/>
        <s v="Cakepark"/>
        <s v="To kumara"/>
        <s v="To chennai"/>
        <s v="Salary from dad"/>
        <s v="To gobi"/>
        <s v="Shawarma"/>
        <s v="Good soup"/>
        <s v="To gowdham"/>
        <s v="Parotta"/>
        <s v="Vnr to apk"/>
        <s v="To vicky"/>
        <s v="To ksr station"/>
        <s v="Cycle gap "/>
        <s v="Brunch"/>
        <s v="Rapido to pg"/>
        <s v="Sent to barath"/>
        <s v="Banana"/>
        <s v="Lunch with company"/>
        <s v="To vishnu"/>
        <s v="Zinger box meal"/>
        <s v="Vishnu 100 gowdham 25"/>
        <s v="Paani poori"/>
        <s v="Kfc date with myself"/>
        <s v="Lemon tea"/>
        <s v="Train to vnr"/>
        <s v="Snack"/>
        <s v="Pepsi"/>
        <s v="Sent to vicky"/>
        <s v="Snacks with preethi and azar"/>
        <s v="Badminton"/>
        <s v="Lunch + chocolate for preethi"/>
        <s v="Snack with preethi"/>
        <s v="Eve snack"/>
        <s v="Bus to Bangalore"/>
        <s v="Kumara"/>
        <s v="Siva + 100 cash"/>
        <s v="Gundan + prasanna"/>
        <s v="Dinesh and maddy + 100 cash"/>
        <s v="From gowdham"/>
        <s v="Lunch pongal"/>
        <s v="Recharge by gowdham"/>
        <s v="Lunch with not preethi"/>
        <s v="Friday snacks with preethi gang"/>
        <s v="Lunch with gowdham"/>
        <s v="Rent"/>
        <s v="Coffee + biscuit"/>
        <s v="From barath and shakur"/>
        <s v="Ketch up"/>
        <s v="Dinner with roommate"/>
        <s v="Bingo"/>
        <s v="McDonald's with company"/>
        <s v="Lended money returned to vishnu"/>
        <s v="Lended money returned to kumara"/>
        <s v="Jan 2nd with shakur and barath"/>
        <s v="To gobi 1st 1/4th"/>
        <s v="To abijith and to vicky lend money returned"/>
        <s v="Refund for bus ticket"/>
        <s v="Arrear and reval fee"/>
        <s v="Salary"/>
        <s v="Sent to preethi"/>
        <s v="Dairy milk"/>
        <s v="From barath"/>
        <s v="From gpay"/>
        <s v="From shakur"/>
        <s v="Lunch unlimited nv"/>
        <s v="From abi"/>
        <s v="Tablet to gowdham"/>
        <s v="Dinner with barath"/>
        <s v="To barath"/>
        <s v="Pg to office"/>
        <s v="Horlicks + kolakattai"/>
        <s v="Bommasandra to pg"/>
        <s v="From Deepak"/>
        <s v="Water"/>
        <s v="Rapido + toll"/>
        <s v="Coffee and thattai"/>
        <s v="Lunch with barath"/>
        <s v="From ganesan"/>
        <s v="Coconut water with stu"/>
        <s v="Cab"/>
        <s v="Books"/>
        <s v="Corn"/>
        <s v="Milk with bharath"/>
        <s v="Beer"/>
        <s v="Lemon tea with company"/>
        <s v="Puffs and coffee"/>
        <s v="Puffs"/>
        <s v="Bun"/>
        <s v="Taxi"/>
        <s v="To siva"/>
        <s v="To abijith"/>
        <s v="To rahul"/>
        <s v="Lended money"/>
        <s v="Spiderman "/>
        <s v="Gave to gowdham"/>
        <s v="Egg"/>
        <s v="Panipoori"/>
        <s v="From stu"/>
        <s v="Shopping"/>
        <s v="Momos"/>
        <s v="Snack with bharath"/>
        <s v="Breakfast with stu"/>
        <s v="Lunch with stu"/>
        <s v="5 star"/>
        <s v="Milk"/>
        <s v="Horlicks"/>
        <s v="Shoe"/>
        <s v="Cap"/>
        <s v="Full hand and a hoodie"/>
        <s v="For company"/>
        <s v="Breakfast"/>
        <s v="Belt"/>
        <s v="Mask"/>
        <s v="Ice cream"/>
        <s v="Vadapaav"/>
        <s v="Showergel"/>
        <s v="Bharath birthday"/>
        <s v="Zomato"/>
        <s v="Dinner with gowdham"/>
        <s v="Rapido"/>
        <s v="Cashback"/>
        <s v="Got from gobi"/>
      </sharedItems>
    </cacheField>
    <cacheField name="Income/Expense" numFmtId="0">
      <sharedItems count="2">
        <s v="Expense"/>
        <s v="Income"/>
      </sharedItems>
    </cacheField>
    <cacheField name="Account2" numFmtId="164">
      <sharedItems containsSemiMixedTypes="0" containsString="0" containsNumber="1" minValue="3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67.777505787039" createdVersion="8" refreshedVersion="8" minRefreshableVersion="3" recordCount="22" xr:uid="{8F2AF528-6357-47AA-BCD4-4CDAE296FD57}">
  <cacheSource type="worksheet">
    <worksheetSource ref="H1:I23" sheet="expense_data_1"/>
  </cacheSource>
  <cacheFields count="2">
    <cacheField name="Other Items" numFmtId="0">
      <sharedItems count="19">
        <s v="To lended people"/>
        <s v="To karthi"/>
        <s v="To auto anna"/>
        <s v="To gobi"/>
        <s v="To gowdham"/>
        <s v="To vicky"/>
        <s v="Sent to barath"/>
        <s v="To vishnu"/>
        <s v="To kumara"/>
        <s v="Recharge by gowdham"/>
        <s v="Lended money returned to vishnu"/>
        <s v="Lended money returned to kumara"/>
        <s v="To gobi 1st 1/4th"/>
        <s v="To abijith and to vicky lend money returned"/>
        <s v="Tablet to gowdham"/>
        <s v="To siva"/>
        <s v="To abijith"/>
        <s v="Gave to gowdham"/>
        <s v="For company"/>
      </sharedItems>
    </cacheField>
    <cacheField name="Expense" numFmtId="0">
      <sharedItems containsSemiMixedTypes="0" containsString="0" containsNumber="1" containsInteger="1" minValue="8" maxValue="1500" count="12">
        <n v="300"/>
        <n v="100"/>
        <n v="50"/>
        <n v="1500"/>
        <n v="150"/>
        <n v="200"/>
        <n v="479"/>
        <n v="40"/>
        <n v="30"/>
        <n v="500"/>
        <n v="80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d v="2022-03-02T10:11:00"/>
    <s v="CUB - online payment"/>
    <x v="0"/>
    <x v="0"/>
    <x v="0"/>
    <n v="50"/>
  </r>
  <r>
    <d v="2022-03-02T10:11:00"/>
    <s v="CUB - online payment"/>
    <x v="1"/>
    <x v="1"/>
    <x v="0"/>
    <n v="300"/>
  </r>
  <r>
    <d v="2022-03-01T19:50:00"/>
    <s v="CUB - online payment"/>
    <x v="0"/>
    <x v="2"/>
    <x v="0"/>
    <n v="78"/>
  </r>
  <r>
    <d v="2022-03-01T18:56:00"/>
    <s v="CUB - online payment"/>
    <x v="2"/>
    <x v="3"/>
    <x v="0"/>
    <n v="30"/>
  </r>
  <r>
    <d v="2022-03-01T18:22:00"/>
    <s v="CUB - online payment"/>
    <x v="0"/>
    <x v="4"/>
    <x v="0"/>
    <n v="67"/>
  </r>
  <r>
    <d v="2022-03-01T18:22:00"/>
    <s v="CUB - online payment"/>
    <x v="1"/>
    <x v="5"/>
    <x v="1"/>
    <n v="100"/>
  </r>
  <r>
    <d v="2022-03-01T18:21:00"/>
    <s v="CUB - online payment"/>
    <x v="1"/>
    <x v="6"/>
    <x v="1"/>
    <n v="500"/>
  </r>
  <r>
    <d v="2022-02-28T11:56:00"/>
    <s v="CUB - online payment"/>
    <x v="0"/>
    <x v="7"/>
    <x v="0"/>
    <n v="339.15"/>
  </r>
  <r>
    <d v="2022-02-28T11:45:00"/>
    <s v="CUB - online payment"/>
    <x v="1"/>
    <x v="8"/>
    <x v="1"/>
    <n v="200"/>
  </r>
  <r>
    <d v="2022-02-27T15:29:00"/>
    <s v="CUB - online payment"/>
    <x v="0"/>
    <x v="9"/>
    <x v="0"/>
    <n v="243"/>
  </r>
  <r>
    <d v="2022-02-26T20:16:00"/>
    <s v="CUB - online payment"/>
    <x v="0"/>
    <x v="10"/>
    <x v="0"/>
    <n v="25"/>
  </r>
  <r>
    <d v="2022-02-26T17:37:00"/>
    <s v="CUB - online payment"/>
    <x v="1"/>
    <x v="6"/>
    <x v="1"/>
    <n v="1500"/>
  </r>
  <r>
    <d v="2022-02-26T17:37:00"/>
    <s v="CUB - online payment"/>
    <x v="1"/>
    <x v="11"/>
    <x v="0"/>
    <n v="100"/>
  </r>
  <r>
    <d v="2022-02-26T16:01:00"/>
    <s v="CUB - online payment"/>
    <x v="3"/>
    <x v="10"/>
    <x v="0"/>
    <n v="1700"/>
  </r>
  <r>
    <d v="2022-02-26T14:07:00"/>
    <s v="CUB - online payment"/>
    <x v="0"/>
    <x v="4"/>
    <x v="0"/>
    <n v="40"/>
  </r>
  <r>
    <d v="2022-02-26T01:39:00"/>
    <s v="CUB - online payment"/>
    <x v="0"/>
    <x v="12"/>
    <x v="0"/>
    <n v="84"/>
  </r>
  <r>
    <d v="2022-02-25T12:08:00"/>
    <s v="CUB - online payment"/>
    <x v="0"/>
    <x v="10"/>
    <x v="0"/>
    <n v="33"/>
  </r>
  <r>
    <d v="2022-02-24T22:32:00"/>
    <s v="CUB - online payment"/>
    <x v="4"/>
    <x v="10"/>
    <x v="0"/>
    <n v="303"/>
  </r>
  <r>
    <d v="2022-02-24T22:21:00"/>
    <s v="CUB - online payment"/>
    <x v="0"/>
    <x v="13"/>
    <x v="0"/>
    <n v="289"/>
  </r>
  <r>
    <d v="2022-02-24T19:15:00"/>
    <s v="CUB - online payment"/>
    <x v="0"/>
    <x v="14"/>
    <x v="0"/>
    <n v="324.7"/>
  </r>
  <r>
    <d v="2022-02-23T17:35:00"/>
    <s v="CUB - online payment"/>
    <x v="5"/>
    <x v="15"/>
    <x v="0"/>
    <n v="399"/>
  </r>
  <r>
    <d v="2022-02-23T16:06:00"/>
    <s v="CUB - online payment"/>
    <x v="0"/>
    <x v="16"/>
    <x v="0"/>
    <n v="83"/>
  </r>
  <r>
    <d v="2022-02-23T12:38:00"/>
    <s v="CUB - online payment"/>
    <x v="5"/>
    <x v="17"/>
    <x v="0"/>
    <n v="399"/>
  </r>
  <r>
    <d v="2022-02-22T06:33:00"/>
    <s v="CUB - online payment"/>
    <x v="2"/>
    <x v="18"/>
    <x v="0"/>
    <n v="120"/>
  </r>
  <r>
    <d v="2022-02-21T22:15:00"/>
    <s v="CUB - online payment"/>
    <x v="2"/>
    <x v="19"/>
    <x v="0"/>
    <n v="1300"/>
  </r>
  <r>
    <d v="2022-02-21T16:06:00"/>
    <s v="CUB - online payment"/>
    <x v="2"/>
    <x v="20"/>
    <x v="0"/>
    <n v="138"/>
  </r>
  <r>
    <d v="2022-02-21T15:40:00"/>
    <s v="CUB - online payment"/>
    <x v="4"/>
    <x v="21"/>
    <x v="0"/>
    <n v="336"/>
  </r>
  <r>
    <d v="2022-02-21T15:38:00"/>
    <s v="CUB - online payment"/>
    <x v="2"/>
    <x v="22"/>
    <x v="0"/>
    <n v="201.8"/>
  </r>
  <r>
    <d v="2022-02-20T15:24:00"/>
    <s v="CUB - online payment"/>
    <x v="0"/>
    <x v="9"/>
    <x v="0"/>
    <n v="200"/>
  </r>
  <r>
    <d v="2022-02-19T23:03:00"/>
    <s v="CUB - online payment"/>
    <x v="0"/>
    <x v="23"/>
    <x v="0"/>
    <n v="111"/>
  </r>
  <r>
    <d v="2022-02-19T21:57:00"/>
    <s v="CUB - online payment"/>
    <x v="0"/>
    <x v="4"/>
    <x v="0"/>
    <n v="250"/>
  </r>
  <r>
    <d v="2022-02-19T21:35:00"/>
    <s v="CUB - online payment"/>
    <x v="2"/>
    <x v="24"/>
    <x v="0"/>
    <n v="1575"/>
  </r>
  <r>
    <d v="2022-02-19T20:45:00"/>
    <s v="CUB - online payment"/>
    <x v="2"/>
    <x v="25"/>
    <x v="0"/>
    <n v="200"/>
  </r>
  <r>
    <d v="2022-02-19T20:45:00"/>
    <s v="CUB - online payment"/>
    <x v="0"/>
    <x v="26"/>
    <x v="0"/>
    <n v="380"/>
  </r>
  <r>
    <d v="2022-02-19T08:26:00"/>
    <s v="CUB - online payment"/>
    <x v="2"/>
    <x v="3"/>
    <x v="0"/>
    <n v="60"/>
  </r>
  <r>
    <d v="2022-02-19T06:27:00"/>
    <s v="CUB - online payment"/>
    <x v="1"/>
    <x v="27"/>
    <x v="0"/>
    <n v="50"/>
  </r>
  <r>
    <d v="2022-02-19T06:18:00"/>
    <s v="CUB - online payment"/>
    <x v="2"/>
    <x v="28"/>
    <x v="0"/>
    <n v="270"/>
  </r>
  <r>
    <d v="2022-02-18T23:01:00"/>
    <s v="CUB - online payment"/>
    <x v="0"/>
    <x v="29"/>
    <x v="0"/>
    <n v="348"/>
  </r>
  <r>
    <d v="2022-02-17T13:11:00"/>
    <s v="CUB - online payment"/>
    <x v="0"/>
    <x v="9"/>
    <x v="0"/>
    <n v="80"/>
  </r>
  <r>
    <d v="2022-02-16T16:57:00"/>
    <s v="CUB - online payment"/>
    <x v="0"/>
    <x v="30"/>
    <x v="0"/>
    <n v="165"/>
  </r>
  <r>
    <d v="2022-02-16T16:57:00"/>
    <s v="CUB - online payment"/>
    <x v="0"/>
    <x v="31"/>
    <x v="0"/>
    <n v="475"/>
  </r>
  <r>
    <d v="2022-02-13T21:54:00"/>
    <s v="CUB - online payment"/>
    <x v="3"/>
    <x v="32"/>
    <x v="0"/>
    <n v="100"/>
  </r>
  <r>
    <d v="2022-02-12T21:20:00"/>
    <s v="CUB - online payment"/>
    <x v="0"/>
    <x v="33"/>
    <x v="0"/>
    <n v="491"/>
  </r>
  <r>
    <d v="2022-02-12T16:04:00"/>
    <s v="CUB - online payment"/>
    <x v="4"/>
    <x v="34"/>
    <x v="0"/>
    <n v="70"/>
  </r>
  <r>
    <d v="2022-02-12T14:48:00"/>
    <s v="CUB - online payment"/>
    <x v="0"/>
    <x v="9"/>
    <x v="0"/>
    <n v="80"/>
  </r>
  <r>
    <d v="2022-02-12T14:47:00"/>
    <s v="CUB - online payment"/>
    <x v="1"/>
    <x v="6"/>
    <x v="1"/>
    <n v="10000"/>
  </r>
  <r>
    <d v="2022-02-11T22:41:00"/>
    <s v="CUB - online payment"/>
    <x v="0"/>
    <x v="35"/>
    <x v="0"/>
    <n v="373"/>
  </r>
  <r>
    <d v="2022-02-10T20:15:00"/>
    <s v="CUB - online payment"/>
    <x v="0"/>
    <x v="29"/>
    <x v="0"/>
    <n v="641"/>
  </r>
  <r>
    <d v="2022-02-08T10:37:00"/>
    <s v="CUB - online payment"/>
    <x v="1"/>
    <x v="6"/>
    <x v="1"/>
    <n v="1000"/>
  </r>
  <r>
    <d v="2022-02-08T09:18:00"/>
    <s v="CUB - online payment"/>
    <x v="4"/>
    <x v="36"/>
    <x v="0"/>
    <n v="2099"/>
  </r>
  <r>
    <d v="2022-02-07T07:08:00"/>
    <s v="CUB - online payment"/>
    <x v="2"/>
    <x v="37"/>
    <x v="0"/>
    <n v="214"/>
  </r>
  <r>
    <d v="2022-02-06T18:32:00"/>
    <s v="CUB - online payment"/>
    <x v="0"/>
    <x v="38"/>
    <x v="0"/>
    <n v="125"/>
  </r>
  <r>
    <d v="2022-02-06T17:53:00"/>
    <s v="CUB - online payment"/>
    <x v="0"/>
    <x v="39"/>
    <x v="0"/>
    <n v="150"/>
  </r>
  <r>
    <d v="2022-02-06T17:52:00"/>
    <s v="CUB - online payment"/>
    <x v="2"/>
    <x v="40"/>
    <x v="0"/>
    <n v="1000"/>
  </r>
  <r>
    <d v="2022-02-06T16:41:00"/>
    <s v="CUB - online payment"/>
    <x v="1"/>
    <x v="41"/>
    <x v="1"/>
    <n v="5000"/>
  </r>
  <r>
    <d v="2022-02-06T16:40:00"/>
    <s v="CUB - online payment"/>
    <x v="1"/>
    <x v="42"/>
    <x v="0"/>
    <n v="1500"/>
  </r>
  <r>
    <d v="2022-02-04T20:28:00"/>
    <s v="CUB - online payment"/>
    <x v="0"/>
    <x v="43"/>
    <x v="0"/>
    <n v="80"/>
  </r>
  <r>
    <d v="2022-02-03T14:53:00"/>
    <s v="CUB - online payment"/>
    <x v="0"/>
    <x v="44"/>
    <x v="0"/>
    <n v="50"/>
  </r>
  <r>
    <d v="2022-02-03T08:59:00"/>
    <s v="CUB - online payment"/>
    <x v="1"/>
    <x v="45"/>
    <x v="0"/>
    <n v="150"/>
  </r>
  <r>
    <d v="2022-02-02T20:15:00"/>
    <s v="CUB - online payment"/>
    <x v="0"/>
    <x v="46"/>
    <x v="0"/>
    <n v="120"/>
  </r>
  <r>
    <d v="2022-02-02T20:14:00"/>
    <s v="CUB - online payment"/>
    <x v="1"/>
    <x v="6"/>
    <x v="1"/>
    <n v="500"/>
  </r>
  <r>
    <d v="2022-01-31T08:44:00"/>
    <s v="CUB - online payment"/>
    <x v="2"/>
    <x v="47"/>
    <x v="0"/>
    <n v="50"/>
  </r>
  <r>
    <d v="2022-01-31T08:27:00"/>
    <s v="CUB - online payment"/>
    <x v="1"/>
    <x v="48"/>
    <x v="0"/>
    <n v="200"/>
  </r>
  <r>
    <d v="2022-01-31T08:26:00"/>
    <s v="CUB - online payment"/>
    <x v="2"/>
    <x v="49"/>
    <x v="0"/>
    <n v="153"/>
  </r>
  <r>
    <d v="2022-01-30T19:17:00"/>
    <s v="CUB - online payment"/>
    <x v="0"/>
    <x v="2"/>
    <x v="0"/>
    <n v="155"/>
  </r>
  <r>
    <d v="2022-01-30T19:01:00"/>
    <s v="CUB - online payment"/>
    <x v="0"/>
    <x v="50"/>
    <x v="0"/>
    <n v="120"/>
  </r>
  <r>
    <d v="2022-01-30T12:28:00"/>
    <s v="CUB - online payment"/>
    <x v="0"/>
    <x v="51"/>
    <x v="0"/>
    <n v="105"/>
  </r>
  <r>
    <d v="2022-01-29T21:56:00"/>
    <s v="CUB - online payment"/>
    <x v="2"/>
    <x v="52"/>
    <x v="0"/>
    <n v="44"/>
  </r>
  <r>
    <d v="2022-01-29T14:44:00"/>
    <s v="CUB - online payment"/>
    <x v="1"/>
    <x v="53"/>
    <x v="0"/>
    <n v="100"/>
  </r>
  <r>
    <d v="2022-01-28T21:58:00"/>
    <s v="CUB - online payment"/>
    <x v="0"/>
    <x v="54"/>
    <x v="0"/>
    <n v="10"/>
  </r>
  <r>
    <d v="2022-01-28T14:23:00"/>
    <s v="CUB - online payment"/>
    <x v="0"/>
    <x v="55"/>
    <x v="0"/>
    <n v="138"/>
  </r>
  <r>
    <d v="2022-01-27T21:25:00"/>
    <s v="CUB - online payment"/>
    <x v="2"/>
    <x v="52"/>
    <x v="0"/>
    <n v="43"/>
  </r>
  <r>
    <d v="2022-01-27T13:41:00"/>
    <s v="CUB - online payment"/>
    <x v="1"/>
    <x v="48"/>
    <x v="0"/>
    <n v="300"/>
  </r>
  <r>
    <d v="2022-01-27T13:41:00"/>
    <s v="CUB - online payment"/>
    <x v="1"/>
    <x v="56"/>
    <x v="0"/>
    <n v="100"/>
  </r>
  <r>
    <d v="2022-01-27T13:39:00"/>
    <s v="CUB - online payment"/>
    <x v="0"/>
    <x v="57"/>
    <x v="0"/>
    <n v="279"/>
  </r>
  <r>
    <d v="2022-01-27T13:38:00"/>
    <s v="CUB - online payment"/>
    <x v="1"/>
    <x v="5"/>
    <x v="1"/>
    <n v="300"/>
  </r>
  <r>
    <d v="2022-01-27T13:38:00"/>
    <s v="CUB - online payment"/>
    <x v="1"/>
    <x v="6"/>
    <x v="1"/>
    <n v="1500"/>
  </r>
  <r>
    <d v="2022-01-26T17:45:00"/>
    <s v="CUB - online payment"/>
    <x v="0"/>
    <x v="4"/>
    <x v="0"/>
    <n v="115"/>
  </r>
  <r>
    <d v="2022-01-26T17:45:00"/>
    <s v="CUB - online payment"/>
    <x v="1"/>
    <x v="58"/>
    <x v="1"/>
    <n v="125"/>
  </r>
  <r>
    <d v="2022-01-26T16:52:00"/>
    <s v="CUB - online payment"/>
    <x v="0"/>
    <x v="59"/>
    <x v="0"/>
    <n v="25"/>
  </r>
  <r>
    <d v="2022-01-25T13:35:00"/>
    <s v="CUB - online payment"/>
    <x v="0"/>
    <x v="60"/>
    <x v="0"/>
    <n v="259"/>
  </r>
  <r>
    <d v="2022-01-25T10:23:00"/>
    <s v="CUB - online payment"/>
    <x v="0"/>
    <x v="61"/>
    <x v="0"/>
    <n v="18"/>
  </r>
  <r>
    <d v="2022-01-25T09:20:00"/>
    <s v="CUB - online payment"/>
    <x v="2"/>
    <x v="62"/>
    <x v="0"/>
    <n v="325"/>
  </r>
  <r>
    <d v="2022-01-24T20:17:00"/>
    <s v="CUB - online payment"/>
    <x v="0"/>
    <x v="63"/>
    <x v="0"/>
    <n v="40"/>
  </r>
  <r>
    <d v="2022-01-24T14:08:00"/>
    <s v="CUB - online payment"/>
    <x v="0"/>
    <x v="55"/>
    <x v="0"/>
    <n v="133"/>
  </r>
  <r>
    <d v="2022-01-23T21:45:00"/>
    <s v="CUB - online payment"/>
    <x v="0"/>
    <x v="64"/>
    <x v="0"/>
    <n v="40"/>
  </r>
  <r>
    <d v="2022-01-23T21:41:00"/>
    <s v="CUB - online payment"/>
    <x v="0"/>
    <x v="2"/>
    <x v="0"/>
    <n v="465"/>
  </r>
  <r>
    <d v="2022-01-23T21:29:00"/>
    <s v="CUB - online payment"/>
    <x v="0"/>
    <x v="65"/>
    <x v="0"/>
    <n v="300"/>
  </r>
  <r>
    <d v="2022-01-23T21:29:00"/>
    <s v="CUB - online payment"/>
    <x v="0"/>
    <x v="9"/>
    <x v="0"/>
    <n v="302"/>
  </r>
  <r>
    <d v="2022-01-23T21:29:00"/>
    <s v="CUB - online payment"/>
    <x v="1"/>
    <x v="5"/>
    <x v="1"/>
    <n v="310"/>
  </r>
  <r>
    <d v="2022-01-23T21:27:00"/>
    <s v="CUB - online payment"/>
    <x v="0"/>
    <x v="66"/>
    <x v="0"/>
    <n v="176"/>
  </r>
  <r>
    <d v="2022-01-23T21:27:00"/>
    <s v="CUB - online payment"/>
    <x v="3"/>
    <x v="67"/>
    <x v="0"/>
    <n v="200"/>
  </r>
  <r>
    <d v="2022-01-23T21:27:00"/>
    <s v="CUB - online payment"/>
    <x v="1"/>
    <x v="6"/>
    <x v="1"/>
    <n v="2000"/>
  </r>
  <r>
    <d v="2022-01-21T14:22:00"/>
    <s v="CUB - online payment"/>
    <x v="0"/>
    <x v="55"/>
    <x v="0"/>
    <n v="188"/>
  </r>
  <r>
    <d v="2022-01-21T11:47:00"/>
    <s v="CUB - online payment"/>
    <x v="0"/>
    <x v="4"/>
    <x v="0"/>
    <n v="37"/>
  </r>
  <r>
    <d v="2022-01-21T11:47:00"/>
    <s v="CUB - online payment"/>
    <x v="1"/>
    <x v="5"/>
    <x v="1"/>
    <n v="200"/>
  </r>
  <r>
    <d v="2022-01-19T14:27:00"/>
    <s v="CUB - online payment"/>
    <x v="0"/>
    <x v="68"/>
    <x v="0"/>
    <n v="171"/>
  </r>
  <r>
    <d v="2022-01-18T20:54:00"/>
    <s v="CUB - online payment"/>
    <x v="0"/>
    <x v="2"/>
    <x v="0"/>
    <n v="301.14999999999998"/>
  </r>
  <r>
    <d v="2022-01-18T17:10:00"/>
    <s v="CUB - online payment"/>
    <x v="0"/>
    <x v="69"/>
    <x v="0"/>
    <n v="59"/>
  </r>
  <r>
    <d v="2022-01-18T13:51:00"/>
    <s v="CUB - online payment"/>
    <x v="0"/>
    <x v="55"/>
    <x v="0"/>
    <n v="148"/>
  </r>
  <r>
    <d v="2022-01-18T12:59:00"/>
    <s v="CUB - online payment"/>
    <x v="1"/>
    <x v="39"/>
    <x v="0"/>
    <n v="200"/>
  </r>
  <r>
    <d v="2022-01-18T12:59:00"/>
    <s v="CUB - online payment"/>
    <x v="1"/>
    <x v="6"/>
    <x v="1"/>
    <n v="1000"/>
  </r>
  <r>
    <d v="2022-01-17T18:31:00"/>
    <s v="CUB - online payment"/>
    <x v="0"/>
    <x v="70"/>
    <x v="0"/>
    <n v="100"/>
  </r>
  <r>
    <d v="2022-01-15T21:17:00"/>
    <s v="CUB - online payment"/>
    <x v="2"/>
    <x v="71"/>
    <x v="0"/>
    <n v="1365"/>
  </r>
  <r>
    <d v="2022-01-15T21:16:00"/>
    <s v="CUB - online payment"/>
    <x v="1"/>
    <x v="6"/>
    <x v="1"/>
    <n v="1500"/>
  </r>
  <r>
    <d v="2022-01-15T21:16:00"/>
    <s v="CUB - online payment"/>
    <x v="0"/>
    <x v="4"/>
    <x v="0"/>
    <n v="70"/>
  </r>
  <r>
    <d v="2022-01-14T16:58:00"/>
    <s v="CUB - online payment"/>
    <x v="1"/>
    <x v="72"/>
    <x v="1"/>
    <n v="170"/>
  </r>
  <r>
    <d v="2022-01-14T16:56:00"/>
    <s v="CUB - online payment"/>
    <x v="1"/>
    <x v="73"/>
    <x v="1"/>
    <n v="70"/>
  </r>
  <r>
    <d v="2022-01-14T16:56:00"/>
    <s v="CUB - online payment"/>
    <x v="1"/>
    <x v="74"/>
    <x v="1"/>
    <n v="340"/>
  </r>
  <r>
    <d v="2022-01-14T16:55:00"/>
    <s v="CUB - online payment"/>
    <x v="1"/>
    <x v="75"/>
    <x v="1"/>
    <n v="240"/>
  </r>
  <r>
    <d v="2022-01-14T16:54:00"/>
    <s v="CUB - online payment"/>
    <x v="1"/>
    <x v="76"/>
    <x v="1"/>
    <n v="340"/>
  </r>
  <r>
    <d v="2022-01-14T16:54:00"/>
    <s v="CUB - online payment"/>
    <x v="0"/>
    <x v="77"/>
    <x v="0"/>
    <n v="1530"/>
  </r>
  <r>
    <d v="2022-01-13T20:46:00"/>
    <s v="CUB - online payment"/>
    <x v="0"/>
    <x v="2"/>
    <x v="0"/>
    <n v="66"/>
  </r>
  <r>
    <d v="2022-01-13T19:10:00"/>
    <s v="CUB - online payment"/>
    <x v="1"/>
    <x v="6"/>
    <x v="1"/>
    <n v="1000"/>
  </r>
  <r>
    <d v="2022-01-13T17:47:00"/>
    <s v="CUB - online payment"/>
    <x v="2"/>
    <x v="52"/>
    <x v="0"/>
    <n v="43"/>
  </r>
  <r>
    <d v="2022-01-12T22:44:00"/>
    <s v="CUB - online payment"/>
    <x v="1"/>
    <x v="78"/>
    <x v="0"/>
    <n v="479"/>
  </r>
  <r>
    <d v="2022-01-12T13:25:00"/>
    <s v="CUB - online payment"/>
    <x v="0"/>
    <x v="7"/>
    <x v="0"/>
    <n v="301.75"/>
  </r>
  <r>
    <d v="2022-01-12T13:25:00"/>
    <s v="CUB - online payment"/>
    <x v="1"/>
    <x v="8"/>
    <x v="1"/>
    <n v="200"/>
  </r>
  <r>
    <d v="2022-01-11T14:07:00"/>
    <s v="CUB - online payment"/>
    <x v="0"/>
    <x v="79"/>
    <x v="0"/>
    <n v="135.5"/>
  </r>
  <r>
    <d v="2022-01-10T14:04:00"/>
    <s v="CUB - online payment"/>
    <x v="0"/>
    <x v="80"/>
    <x v="0"/>
    <n v="106"/>
  </r>
  <r>
    <d v="2022-01-08T13:46:00"/>
    <s v="CUB - online payment"/>
    <x v="1"/>
    <x v="76"/>
    <x v="1"/>
    <n v="260"/>
  </r>
  <r>
    <d v="2022-01-08T13:45:00"/>
    <s v="CUB - online payment"/>
    <x v="0"/>
    <x v="81"/>
    <x v="0"/>
    <n v="535.29999999999995"/>
  </r>
  <r>
    <d v="2022-01-08T13:38:00"/>
    <s v="CUB - online payment"/>
    <x v="4"/>
    <x v="82"/>
    <x v="0"/>
    <n v="4580"/>
  </r>
  <r>
    <d v="2022-01-07T13:51:00"/>
    <s v="CUB - online payment"/>
    <x v="0"/>
    <x v="83"/>
    <x v="0"/>
    <n v="15"/>
  </r>
  <r>
    <d v="2022-01-06T21:30:00"/>
    <s v="CUB - online payment"/>
    <x v="1"/>
    <x v="84"/>
    <x v="1"/>
    <n v="440"/>
  </r>
  <r>
    <d v="2022-01-06T20:58:00"/>
    <s v="CUB - online payment"/>
    <x v="0"/>
    <x v="85"/>
    <x v="0"/>
    <n v="20"/>
  </r>
  <r>
    <d v="2022-01-06T20:13:00"/>
    <s v="CUB - online payment"/>
    <x v="0"/>
    <x v="86"/>
    <x v="0"/>
    <n v="877.81"/>
  </r>
  <r>
    <d v="2022-01-06T14:22:00"/>
    <s v="CUB - online payment"/>
    <x v="0"/>
    <x v="87"/>
    <x v="0"/>
    <n v="10"/>
  </r>
  <r>
    <d v="2022-01-06T11:48:00"/>
    <s v="CUB - online payment"/>
    <x v="2"/>
    <x v="52"/>
    <x v="0"/>
    <n v="42"/>
  </r>
  <r>
    <d v="2022-01-05T20:23:00"/>
    <s v="CUB - online payment"/>
    <x v="0"/>
    <x v="88"/>
    <x v="0"/>
    <n v="211"/>
  </r>
  <r>
    <d v="2022-01-05T14:46:00"/>
    <s v="CUB - online payment"/>
    <x v="1"/>
    <x v="89"/>
    <x v="0"/>
    <n v="40"/>
  </r>
  <r>
    <d v="2022-01-05T14:42:00"/>
    <s v="CUB - online payment"/>
    <x v="1"/>
    <x v="90"/>
    <x v="0"/>
    <n v="30"/>
  </r>
  <r>
    <d v="2022-01-05T14:42:00"/>
    <s v="CUB - online payment"/>
    <x v="0"/>
    <x v="91"/>
    <x v="0"/>
    <n v="354"/>
  </r>
  <r>
    <d v="2022-01-05T14:39:00"/>
    <s v="CUB - online payment"/>
    <x v="1"/>
    <x v="92"/>
    <x v="0"/>
    <n v="500"/>
  </r>
  <r>
    <d v="2022-01-05T14:37:00"/>
    <s v="CUB - online payment"/>
    <x v="1"/>
    <x v="93"/>
    <x v="0"/>
    <n v="500"/>
  </r>
  <r>
    <d v="2022-01-05T14:35:00"/>
    <s v="CUB - online payment"/>
    <x v="2"/>
    <x v="94"/>
    <x v="0"/>
    <n v="60"/>
  </r>
  <r>
    <d v="2022-01-05T14:30:00"/>
    <s v="CUB - online payment"/>
    <x v="0"/>
    <x v="55"/>
    <x v="0"/>
    <n v="388"/>
  </r>
  <r>
    <d v="2022-01-04T22:11:00"/>
    <s v="CUB - online payment"/>
    <x v="6"/>
    <x v="95"/>
    <x v="0"/>
    <n v="1400"/>
  </r>
  <r>
    <d v="2022-01-04T22:10:00"/>
    <s v="CUB - online payment"/>
    <x v="7"/>
    <x v="96"/>
    <x v="1"/>
    <n v="8000"/>
  </r>
  <r>
    <d v="2022-01-04T13:53:00"/>
    <s v="CUB - online payment"/>
    <x v="0"/>
    <x v="55"/>
    <x v="0"/>
    <n v="106"/>
  </r>
  <r>
    <d v="2022-01-04T08:01:00"/>
    <s v="CUB - online payment"/>
    <x v="1"/>
    <x v="48"/>
    <x v="0"/>
    <n v="80"/>
  </r>
  <r>
    <d v="2022-01-04T07:58:00"/>
    <s v="CUB - online payment"/>
    <x v="0"/>
    <x v="97"/>
    <x v="0"/>
    <n v="107"/>
  </r>
  <r>
    <d v="2022-01-03T22:15:00"/>
    <s v="CUB - online payment"/>
    <x v="0"/>
    <x v="98"/>
    <x v="0"/>
    <n v="10"/>
  </r>
  <r>
    <d v="2022-01-03T21:54:00"/>
    <s v="CUB - online payment"/>
    <x v="1"/>
    <x v="99"/>
    <x v="1"/>
    <n v="201"/>
  </r>
  <r>
    <d v="2022-01-03T21:12:00"/>
    <s v="CUB - online payment"/>
    <x v="1"/>
    <x v="100"/>
    <x v="1"/>
    <n v="5"/>
  </r>
  <r>
    <d v="2022-01-03T21:11:00"/>
    <s v="CUB - online payment"/>
    <x v="1"/>
    <x v="101"/>
    <x v="1"/>
    <n v="140"/>
  </r>
  <r>
    <d v="2022-01-03T14:31:00"/>
    <s v="CUB - online payment"/>
    <x v="0"/>
    <x v="102"/>
    <x v="0"/>
    <n v="300"/>
  </r>
  <r>
    <d v="2022-01-03T14:30:00"/>
    <s v="CUB - online payment"/>
    <x v="1"/>
    <x v="103"/>
    <x v="1"/>
    <n v="300"/>
  </r>
  <r>
    <d v="2022-01-02T20:33:00"/>
    <s v="CUB - online payment"/>
    <x v="1"/>
    <x v="104"/>
    <x v="0"/>
    <n v="8"/>
  </r>
  <r>
    <d v="2022-01-02T20:32:00"/>
    <s v="CUB - online payment"/>
    <x v="0"/>
    <x v="105"/>
    <x v="0"/>
    <n v="200"/>
  </r>
  <r>
    <d v="2022-01-02T14:16:00"/>
    <s v="CUB - online payment"/>
    <x v="2"/>
    <x v="62"/>
    <x v="0"/>
    <n v="725"/>
  </r>
  <r>
    <d v="2022-01-01T21:46:00"/>
    <s v="CUB - online payment"/>
    <x v="0"/>
    <x v="4"/>
    <x v="0"/>
    <n v="85"/>
  </r>
  <r>
    <d v="2022-01-01T21:45:00"/>
    <s v="CUB - online payment"/>
    <x v="8"/>
    <x v="6"/>
    <x v="1"/>
    <n v="1000"/>
  </r>
  <r>
    <d v="2021-12-30T14:10:00"/>
    <s v="CUB - online payment"/>
    <x v="0"/>
    <x v="106"/>
    <x v="0"/>
    <n v="20"/>
  </r>
  <r>
    <d v="2021-12-30T13:56:00"/>
    <s v="CUB - online payment"/>
    <x v="2"/>
    <x v="107"/>
    <x v="0"/>
    <n v="43"/>
  </r>
  <r>
    <d v="2021-12-30T13:36:00"/>
    <s v="CUB - online payment"/>
    <x v="1"/>
    <x v="8"/>
    <x v="1"/>
    <n v="30"/>
  </r>
  <r>
    <d v="2021-12-30T12:43:00"/>
    <s v="CUB - online payment"/>
    <x v="0"/>
    <x v="108"/>
    <x v="0"/>
    <n v="25"/>
  </r>
  <r>
    <d v="2021-12-30T12:38:00"/>
    <s v="CUB - online payment"/>
    <x v="2"/>
    <x v="109"/>
    <x v="0"/>
    <n v="199"/>
  </r>
  <r>
    <d v="2021-12-30T12:37:00"/>
    <s v="CUB - online payment"/>
    <x v="1"/>
    <x v="110"/>
    <x v="1"/>
    <n v="250"/>
  </r>
  <r>
    <d v="2021-12-30T11:45:00"/>
    <s v="CUB - online payment"/>
    <x v="0"/>
    <x v="111"/>
    <x v="0"/>
    <n v="20"/>
  </r>
  <r>
    <d v="2021-12-30T11:45:00"/>
    <s v="CUB - online payment"/>
    <x v="1"/>
    <x v="103"/>
    <x v="1"/>
    <n v="20"/>
  </r>
  <r>
    <d v="2021-12-30T11:45:00"/>
    <s v="CUB - online payment"/>
    <x v="2"/>
    <x v="112"/>
    <x v="0"/>
    <n v="286"/>
  </r>
  <r>
    <d v="2021-12-30T11:44:00"/>
    <s v="CUB - online payment"/>
    <x v="1"/>
    <x v="110"/>
    <x v="1"/>
    <n v="250"/>
  </r>
  <r>
    <d v="2021-12-28T13:42:00"/>
    <s v="CUB - online payment"/>
    <x v="0"/>
    <x v="113"/>
    <x v="0"/>
    <n v="14"/>
  </r>
  <r>
    <d v="2021-12-27T13:45:00"/>
    <s v="CUB - online payment"/>
    <x v="0"/>
    <x v="114"/>
    <x v="0"/>
    <n v="115"/>
  </r>
  <r>
    <d v="2021-12-27T13:44:00"/>
    <s v="CUB - online payment"/>
    <x v="1"/>
    <x v="5"/>
    <x v="1"/>
    <n v="80"/>
  </r>
  <r>
    <d v="2021-12-27T12:33:00"/>
    <s v="CUB - online payment"/>
    <x v="1"/>
    <x v="115"/>
    <x v="1"/>
    <n v="40"/>
  </r>
  <r>
    <d v="2021-12-27T12:33:00"/>
    <s v="CUB - online payment"/>
    <x v="0"/>
    <x v="116"/>
    <x v="0"/>
    <n v="50"/>
  </r>
  <r>
    <d v="2021-12-25T22:53:00"/>
    <s v="CUB - online payment"/>
    <x v="0"/>
    <x v="105"/>
    <x v="0"/>
    <n v="504"/>
  </r>
  <r>
    <d v="2021-12-25T20:46:00"/>
    <s v="CUB - online payment"/>
    <x v="2"/>
    <x v="117"/>
    <x v="0"/>
    <n v="306"/>
  </r>
  <r>
    <d v="2021-12-25T19:50:00"/>
    <s v="CUB - online payment"/>
    <x v="9"/>
    <x v="118"/>
    <x v="0"/>
    <n v="400"/>
  </r>
  <r>
    <d v="2021-12-25T17:01:00"/>
    <s v="CUB - online payment"/>
    <x v="0"/>
    <x v="119"/>
    <x v="0"/>
    <n v="30"/>
  </r>
  <r>
    <d v="2021-12-25T15:35:00"/>
    <s v="CUB - online payment"/>
    <x v="0"/>
    <x v="111"/>
    <x v="0"/>
    <n v="30"/>
  </r>
  <r>
    <d v="2021-12-25T13:32:00"/>
    <s v="CUB - online payment"/>
    <x v="0"/>
    <x v="120"/>
    <x v="0"/>
    <n v="40"/>
  </r>
  <r>
    <d v="2021-12-24T21:49:00"/>
    <s v="CUB - online payment"/>
    <x v="3"/>
    <x v="121"/>
    <x v="0"/>
    <n v="150"/>
  </r>
  <r>
    <d v="2021-12-24T14:35:00"/>
    <s v="CUB - online payment"/>
    <x v="0"/>
    <x v="55"/>
    <x v="0"/>
    <n v="262"/>
  </r>
  <r>
    <d v="2021-12-23T16:31:00"/>
    <s v="CUB - online payment"/>
    <x v="0"/>
    <x v="122"/>
    <x v="0"/>
    <n v="15"/>
  </r>
  <r>
    <d v="2021-12-23T13:51:00"/>
    <s v="CUB - online payment"/>
    <x v="0"/>
    <x v="123"/>
    <x v="0"/>
    <n v="32"/>
  </r>
  <r>
    <d v="2021-12-21T20:53:00"/>
    <s v="CUB - online payment"/>
    <x v="0"/>
    <x v="105"/>
    <x v="0"/>
    <n v="239"/>
  </r>
  <r>
    <d v="2021-12-21T14:02:00"/>
    <s v="CUB - online payment"/>
    <x v="0"/>
    <x v="124"/>
    <x v="0"/>
    <n v="25"/>
  </r>
  <r>
    <d v="2021-12-21T11:43:00"/>
    <s v="CUB - online payment"/>
    <x v="0"/>
    <x v="125"/>
    <x v="0"/>
    <n v="18"/>
  </r>
  <r>
    <d v="2021-12-20T19:23:00"/>
    <s v="CUB - online payment"/>
    <x v="0"/>
    <x v="120"/>
    <x v="0"/>
    <n v="80"/>
  </r>
  <r>
    <d v="2021-12-20T19:22:00"/>
    <s v="CUB - online payment"/>
    <x v="2"/>
    <x v="126"/>
    <x v="0"/>
    <n v="80"/>
  </r>
  <r>
    <d v="2021-12-20T16:55:00"/>
    <s v="CUB - online payment"/>
    <x v="0"/>
    <x v="4"/>
    <x v="0"/>
    <n v="20"/>
  </r>
  <r>
    <d v="2021-12-20T15:29:00"/>
    <s v="CUB - online payment"/>
    <x v="0"/>
    <x v="111"/>
    <x v="0"/>
    <n v="20"/>
  </r>
  <r>
    <d v="2021-12-20T13:35:00"/>
    <s v="CUB - online payment"/>
    <x v="0"/>
    <x v="114"/>
    <x v="0"/>
    <n v="85"/>
  </r>
  <r>
    <d v="2021-12-20T09:46:00"/>
    <s v="CUB - online payment"/>
    <x v="0"/>
    <x v="120"/>
    <x v="0"/>
    <n v="40"/>
  </r>
  <r>
    <d v="2021-12-19T15:51:00"/>
    <s v="CUB - online payment"/>
    <x v="1"/>
    <x v="127"/>
    <x v="0"/>
    <n v="100"/>
  </r>
  <r>
    <d v="2021-12-18T21:01:00"/>
    <s v="CUB - online payment"/>
    <x v="1"/>
    <x v="39"/>
    <x v="0"/>
    <n v="100"/>
  </r>
  <r>
    <d v="2021-12-18T21:01:00"/>
    <s v="CUB - online payment"/>
    <x v="1"/>
    <x v="128"/>
    <x v="0"/>
    <n v="200"/>
  </r>
  <r>
    <d v="2021-12-18T21:00:00"/>
    <s v="CUB - online payment"/>
    <x v="0"/>
    <x v="129"/>
    <x v="0"/>
    <n v="113"/>
  </r>
  <r>
    <d v="2021-12-18T21:00:00"/>
    <s v="CUB - online payment"/>
    <x v="8"/>
    <x v="6"/>
    <x v="1"/>
    <n v="1000"/>
  </r>
  <r>
    <d v="2021-12-18T19:52:00"/>
    <s v="CUB - online payment"/>
    <x v="1"/>
    <x v="130"/>
    <x v="1"/>
    <n v="400"/>
  </r>
  <r>
    <d v="2021-12-18T19:51:00"/>
    <s v="CUB - online payment"/>
    <x v="3"/>
    <x v="131"/>
    <x v="0"/>
    <n v="363.72"/>
  </r>
  <r>
    <d v="2021-12-18T14:19:00"/>
    <s v="CUB - online payment"/>
    <x v="0"/>
    <x v="9"/>
    <x v="0"/>
    <n v="160"/>
  </r>
  <r>
    <d v="2021-12-17T18:54:00"/>
    <s v="CUB - online payment"/>
    <x v="0"/>
    <x v="120"/>
    <x v="0"/>
    <n v="70"/>
  </r>
  <r>
    <d v="2021-12-17T14:45:00"/>
    <s v="CUB - online payment"/>
    <x v="0"/>
    <x v="55"/>
    <x v="0"/>
    <n v="110"/>
  </r>
  <r>
    <d v="2021-12-17T08:35:00"/>
    <s v="CUB - online payment"/>
    <x v="1"/>
    <x v="132"/>
    <x v="0"/>
    <n v="50"/>
  </r>
  <r>
    <d v="2021-12-16T18:44:00"/>
    <s v="CUB - online payment"/>
    <x v="0"/>
    <x v="133"/>
    <x v="0"/>
    <n v="30"/>
  </r>
  <r>
    <d v="2021-12-16T18:35:00"/>
    <s v="CUB - online payment"/>
    <x v="0"/>
    <x v="134"/>
    <x v="0"/>
    <n v="20"/>
  </r>
  <r>
    <d v="2021-12-16T13:38:00"/>
    <s v="CUB - online payment"/>
    <x v="0"/>
    <x v="9"/>
    <x v="0"/>
    <n v="30"/>
  </r>
  <r>
    <d v="2021-12-16T10:42:00"/>
    <s v="CUB - online payment"/>
    <x v="0"/>
    <x v="120"/>
    <x v="0"/>
    <n v="110"/>
  </r>
  <r>
    <d v="2021-12-14T23:54:00"/>
    <s v="CUB - online payment"/>
    <x v="0"/>
    <x v="9"/>
    <x v="0"/>
    <n v="40"/>
  </r>
  <r>
    <d v="2021-12-14T21:21:00"/>
    <s v="CUB - online payment"/>
    <x v="0"/>
    <x v="4"/>
    <x v="0"/>
    <n v="75"/>
  </r>
  <r>
    <d v="2021-12-14T21:03:00"/>
    <s v="CUB - online payment"/>
    <x v="0"/>
    <x v="134"/>
    <x v="0"/>
    <n v="80"/>
  </r>
  <r>
    <d v="2021-12-14T15:18:00"/>
    <s v="CUB - online payment"/>
    <x v="0"/>
    <x v="4"/>
    <x v="0"/>
    <n v="74"/>
  </r>
  <r>
    <d v="2021-12-14T10:33:00"/>
    <s v="CUB - online payment"/>
    <x v="0"/>
    <x v="120"/>
    <x v="0"/>
    <n v="65"/>
  </r>
  <r>
    <d v="2021-12-12T21:47:00"/>
    <s v="CUB - online payment"/>
    <x v="0"/>
    <x v="120"/>
    <x v="0"/>
    <n v="25"/>
  </r>
  <r>
    <d v="2021-12-11T09:22:00"/>
    <s v="CUB - online payment"/>
    <x v="8"/>
    <x v="6"/>
    <x v="1"/>
    <n v="1000"/>
  </r>
  <r>
    <d v="2021-12-11T08:20:00"/>
    <s v="CUB - online payment"/>
    <x v="1"/>
    <x v="135"/>
    <x v="1"/>
    <n v="240"/>
  </r>
  <r>
    <d v="2021-12-10T21:38:00"/>
    <s v="CUB - online payment"/>
    <x v="0"/>
    <x v="136"/>
    <x v="0"/>
    <n v="241"/>
  </r>
  <r>
    <d v="2021-12-10T20:55:00"/>
    <s v="CUB - online payment"/>
    <x v="0"/>
    <x v="137"/>
    <x v="0"/>
    <n v="195"/>
  </r>
  <r>
    <d v="2021-12-09T20:03:00"/>
    <s v="CUB - online payment"/>
    <x v="0"/>
    <x v="138"/>
    <x v="0"/>
    <n v="40"/>
  </r>
  <r>
    <d v="2021-12-09T14:01:00"/>
    <s v="CUB - online payment"/>
    <x v="0"/>
    <x v="55"/>
    <x v="0"/>
    <n v="280"/>
  </r>
  <r>
    <d v="2021-12-09T09:56:00"/>
    <s v="CUB - online payment"/>
    <x v="0"/>
    <x v="120"/>
    <x v="0"/>
    <n v="25"/>
  </r>
  <r>
    <d v="2021-12-09T08:47:00"/>
    <s v="CUB - online payment"/>
    <x v="0"/>
    <x v="139"/>
    <x v="0"/>
    <n v="110"/>
  </r>
  <r>
    <d v="2021-12-08T14:15:00"/>
    <s v="CUB - online payment"/>
    <x v="0"/>
    <x v="140"/>
    <x v="0"/>
    <n v="100"/>
  </r>
  <r>
    <d v="2021-12-08T14:15:00"/>
    <s v="Cash"/>
    <x v="0"/>
    <x v="141"/>
    <x v="0"/>
    <n v="15"/>
  </r>
  <r>
    <d v="2021-12-08T07:17:00"/>
    <s v="CUB - online payment"/>
    <x v="0"/>
    <x v="142"/>
    <x v="0"/>
    <n v="10"/>
  </r>
  <r>
    <d v="2021-12-07T09:54:00"/>
    <s v="CUB - online payment"/>
    <x v="0"/>
    <x v="120"/>
    <x v="0"/>
    <n v="25"/>
  </r>
  <r>
    <d v="2021-12-07T07:59:00"/>
    <s v="CUB - online payment"/>
    <x v="0"/>
    <x v="143"/>
    <x v="0"/>
    <n v="15"/>
  </r>
  <r>
    <d v="2021-12-06T21:59:00"/>
    <s v="CUB - online payment"/>
    <x v="0"/>
    <x v="120"/>
    <x v="0"/>
    <n v="25"/>
  </r>
  <r>
    <d v="2021-12-06T20:07:00"/>
    <s v="CUB - online payment"/>
    <x v="5"/>
    <x v="144"/>
    <x v="0"/>
    <n v="500"/>
  </r>
  <r>
    <d v="2021-12-06T19:57:00"/>
    <s v="CUB - online payment"/>
    <x v="5"/>
    <x v="145"/>
    <x v="0"/>
    <n v="140"/>
  </r>
  <r>
    <d v="2021-12-06T14:08:00"/>
    <s v="CUB - online payment"/>
    <x v="0"/>
    <x v="140"/>
    <x v="0"/>
    <n v="150"/>
  </r>
  <r>
    <d v="2021-12-05T19:45:00"/>
    <s v="CUB - online payment"/>
    <x v="0"/>
    <x v="120"/>
    <x v="0"/>
    <n v="25"/>
  </r>
  <r>
    <d v="2021-12-05T18:41:00"/>
    <s v="CUB - online payment"/>
    <x v="5"/>
    <x v="146"/>
    <x v="0"/>
    <n v="1800"/>
  </r>
  <r>
    <d v="2021-12-05T12:23:00"/>
    <s v="CUB - online payment"/>
    <x v="4"/>
    <x v="82"/>
    <x v="0"/>
    <n v="4800"/>
  </r>
  <r>
    <d v="2021-12-05T12:23:00"/>
    <s v="CUB - online payment"/>
    <x v="8"/>
    <x v="6"/>
    <x v="1"/>
    <n v="8000"/>
  </r>
  <r>
    <d v="2021-12-04T21:05:00"/>
    <s v="CUB - online payment"/>
    <x v="0"/>
    <x v="2"/>
    <x v="0"/>
    <n v="324"/>
  </r>
  <r>
    <d v="2021-12-04T20:20:00"/>
    <s v="CUB - online payment"/>
    <x v="0"/>
    <x v="63"/>
    <x v="0"/>
    <n v="65"/>
  </r>
  <r>
    <d v="2021-12-04T13:54:00"/>
    <s v="CUB - online payment"/>
    <x v="1"/>
    <x v="147"/>
    <x v="0"/>
    <n v="30"/>
  </r>
  <r>
    <d v="2021-12-04T10:13:00"/>
    <s v="CUB - online payment"/>
    <x v="0"/>
    <x v="148"/>
    <x v="0"/>
    <n v="200"/>
  </r>
  <r>
    <d v="2021-12-03T21:59:00"/>
    <s v="CUB - online payment"/>
    <x v="0"/>
    <x v="120"/>
    <x v="0"/>
    <n v="25"/>
  </r>
  <r>
    <d v="2021-12-03T21:59:00"/>
    <s v="CUB - online payment"/>
    <x v="5"/>
    <x v="149"/>
    <x v="0"/>
    <n v="130"/>
  </r>
  <r>
    <d v="2021-12-03T21:28:00"/>
    <s v="CUB - online payment"/>
    <x v="5"/>
    <x v="150"/>
    <x v="0"/>
    <n v="20"/>
  </r>
  <r>
    <d v="2021-12-03T21:28:00"/>
    <s v="CUB - online payment"/>
    <x v="0"/>
    <x v="63"/>
    <x v="0"/>
    <n v="40"/>
  </r>
  <r>
    <d v="2021-12-03T21:28:00"/>
    <s v="CUB - online payment"/>
    <x v="8"/>
    <x v="6"/>
    <x v="1"/>
    <n v="1000"/>
  </r>
  <r>
    <d v="2021-12-02T20:07:00"/>
    <s v="CUB - online payment"/>
    <x v="0"/>
    <x v="151"/>
    <x v="0"/>
    <n v="504"/>
  </r>
  <r>
    <d v="2021-12-02T19:48:00"/>
    <s v="CUB - online payment"/>
    <x v="0"/>
    <x v="152"/>
    <x v="0"/>
    <n v="75"/>
  </r>
  <r>
    <d v="2021-12-01T19:57:00"/>
    <s v="CUB - online payment"/>
    <x v="10"/>
    <x v="153"/>
    <x v="0"/>
    <n v="196"/>
  </r>
  <r>
    <d v="2021-12-01T14:00:00"/>
    <s v="CUB - online payment"/>
    <x v="0"/>
    <x v="55"/>
    <x v="0"/>
    <n v="160"/>
  </r>
  <r>
    <d v="2021-11-30T14:24:00"/>
    <s v="CUB - online payment"/>
    <x v="11"/>
    <x v="154"/>
    <x v="0"/>
    <n v="115"/>
  </r>
  <r>
    <d v="2021-11-30T14:17:00"/>
    <s v="CUB - online payment"/>
    <x v="0"/>
    <x v="55"/>
    <x v="0"/>
    <n v="128"/>
  </r>
  <r>
    <d v="2021-11-30T10:11:00"/>
    <s v="CUB - online payment"/>
    <x v="0"/>
    <x v="148"/>
    <x v="0"/>
    <n v="70"/>
  </r>
  <r>
    <d v="2021-11-29T20:47:00"/>
    <s v="CUB - online payment"/>
    <x v="0"/>
    <x v="55"/>
    <x v="0"/>
    <n v="40"/>
  </r>
  <r>
    <d v="2021-11-29T20:47:00"/>
    <s v="CUB - online payment"/>
    <x v="0"/>
    <x v="2"/>
    <x v="0"/>
    <n v="50"/>
  </r>
  <r>
    <d v="2021-11-29T20:09:00"/>
    <s v="CUB - online payment"/>
    <x v="0"/>
    <x v="134"/>
    <x v="0"/>
    <n v="40"/>
  </r>
  <r>
    <d v="2021-11-29T09:29:00"/>
    <s v="CUB - online payment"/>
    <x v="0"/>
    <x v="148"/>
    <x v="0"/>
    <n v="40"/>
  </r>
  <r>
    <d v="2021-11-28T19:59:00"/>
    <s v="CUB - online payment"/>
    <x v="0"/>
    <x v="63"/>
    <x v="0"/>
    <n v="94"/>
  </r>
  <r>
    <d v="2021-11-28T13:10:00"/>
    <s v="CUB - online payment"/>
    <x v="0"/>
    <x v="155"/>
    <x v="0"/>
    <n v="269.39999999999998"/>
  </r>
  <r>
    <d v="2021-11-27T23:14:00"/>
    <s v="CUB - online payment"/>
    <x v="0"/>
    <x v="156"/>
    <x v="0"/>
    <n v="120"/>
  </r>
  <r>
    <d v="2021-11-27T22:34:00"/>
    <s v="CUB - online payment"/>
    <x v="0"/>
    <x v="156"/>
    <x v="0"/>
    <n v="130"/>
  </r>
  <r>
    <d v="2021-11-27T18:41:00"/>
    <s v="CUB - online payment"/>
    <x v="2"/>
    <x v="157"/>
    <x v="0"/>
    <n v="35"/>
  </r>
  <r>
    <d v="2021-11-27T13:46:00"/>
    <s v="CUB - online payment"/>
    <x v="0"/>
    <x v="55"/>
    <x v="0"/>
    <n v="75"/>
  </r>
  <r>
    <d v="2021-11-27T13:46:00"/>
    <s v="CUB - online payment"/>
    <x v="8"/>
    <x v="6"/>
    <x v="1"/>
    <n v="2000"/>
  </r>
  <r>
    <d v="2021-11-27T09:33:00"/>
    <s v="CUB - online payment"/>
    <x v="0"/>
    <x v="148"/>
    <x v="0"/>
    <n v="30"/>
  </r>
  <r>
    <d v="2021-11-26T21:56:00"/>
    <s v="CUB - online payment"/>
    <x v="0"/>
    <x v="121"/>
    <x v="0"/>
    <n v="150"/>
  </r>
  <r>
    <d v="2021-11-26T20:57:00"/>
    <s v="CUB - online payment"/>
    <x v="0"/>
    <x v="63"/>
    <x v="0"/>
    <n v="102"/>
  </r>
  <r>
    <d v="2021-11-26T20:15:00"/>
    <s v="CUB - online payment"/>
    <x v="0"/>
    <x v="134"/>
    <x v="0"/>
    <n v="40"/>
  </r>
  <r>
    <d v="2021-11-26T14:14:00"/>
    <s v="CUB - online payment"/>
    <x v="12"/>
    <x v="158"/>
    <x v="1"/>
    <n v="3"/>
  </r>
  <r>
    <d v="2021-11-26T14:14:00"/>
    <s v="CUB - online payment"/>
    <x v="0"/>
    <x v="55"/>
    <x v="0"/>
    <n v="150"/>
  </r>
  <r>
    <d v="2021-11-26T09:22:00"/>
    <s v="CUB - online payment"/>
    <x v="0"/>
    <x v="148"/>
    <x v="0"/>
    <n v="60"/>
  </r>
  <r>
    <d v="2021-11-25T20:27:00"/>
    <s v="CUB - online payment"/>
    <x v="0"/>
    <x v="55"/>
    <x v="0"/>
    <n v="145"/>
  </r>
  <r>
    <d v="2021-11-25T20:27:00"/>
    <s v="CUB - online payment"/>
    <x v="2"/>
    <x v="157"/>
    <x v="0"/>
    <n v="58"/>
  </r>
  <r>
    <d v="2021-11-25T20:27:00"/>
    <s v="CUB - online payment"/>
    <x v="0"/>
    <x v="2"/>
    <x v="0"/>
    <n v="95"/>
  </r>
  <r>
    <d v="2021-11-24T19:26:00"/>
    <s v="CUB - online payment"/>
    <x v="0"/>
    <x v="63"/>
    <x v="0"/>
    <n v="15"/>
  </r>
  <r>
    <d v="2021-11-24T19:23:00"/>
    <s v="CUB - online payment"/>
    <x v="0"/>
    <x v="2"/>
    <x v="0"/>
    <n v="70"/>
  </r>
  <r>
    <d v="2021-11-24T19:06:00"/>
    <s v="CUB - online payment"/>
    <x v="0"/>
    <x v="134"/>
    <x v="0"/>
    <n v="20"/>
  </r>
  <r>
    <d v="2021-11-24T19:06:00"/>
    <s v="CUB - online payment"/>
    <x v="2"/>
    <x v="157"/>
    <x v="0"/>
    <n v="58"/>
  </r>
  <r>
    <d v="2021-11-23T22:53:00"/>
    <s v="CUB - online payment"/>
    <x v="2"/>
    <x v="157"/>
    <x v="0"/>
    <n v="50"/>
  </r>
  <r>
    <d v="2021-11-23T22:53:00"/>
    <s v="CUB - online payment"/>
    <x v="0"/>
    <x v="2"/>
    <x v="0"/>
    <n v="179"/>
  </r>
  <r>
    <d v="2021-11-22T14:16:00"/>
    <s v="CUB - online payment"/>
    <x v="0"/>
    <x v="2"/>
    <x v="0"/>
    <n v="90"/>
  </r>
  <r>
    <d v="2021-11-22T14:16:00"/>
    <s v="CUB - online payment"/>
    <x v="0"/>
    <x v="55"/>
    <x v="0"/>
    <n v="97"/>
  </r>
  <r>
    <d v="2021-11-21T17:07:00"/>
    <s v="CUB - online payment"/>
    <x v="2"/>
    <x v="157"/>
    <x v="0"/>
    <n v="130"/>
  </r>
  <r>
    <d v="2021-11-21T15:50:00"/>
    <s v="CUB - online payment"/>
    <x v="0"/>
    <x v="9"/>
    <x v="0"/>
    <n v="875"/>
  </r>
  <r>
    <d v="2021-11-21T13:30:00"/>
    <s v="CUB - online payment"/>
    <x v="1"/>
    <x v="159"/>
    <x v="1"/>
    <n v="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1"/>
  </r>
  <r>
    <x v="5"/>
    <x v="0"/>
  </r>
  <r>
    <x v="7"/>
    <x v="1"/>
  </r>
  <r>
    <x v="8"/>
    <x v="5"/>
  </r>
  <r>
    <x v="9"/>
    <x v="6"/>
  </r>
  <r>
    <x v="10"/>
    <x v="7"/>
  </r>
  <r>
    <x v="11"/>
    <x v="8"/>
  </r>
  <r>
    <x v="12"/>
    <x v="9"/>
  </r>
  <r>
    <x v="13"/>
    <x v="9"/>
  </r>
  <r>
    <x v="5"/>
    <x v="10"/>
  </r>
  <r>
    <x v="14"/>
    <x v="11"/>
  </r>
  <r>
    <x v="15"/>
    <x v="1"/>
  </r>
  <r>
    <x v="8"/>
    <x v="1"/>
  </r>
  <r>
    <x v="16"/>
    <x v="5"/>
  </r>
  <r>
    <x v="17"/>
    <x v="2"/>
  </r>
  <r>
    <x v="1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63165-F14C-4595-A081-276BA4F996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>
  <location ref="A5:D20" firstHeaderRow="1" firstDataRow="2" firstDataCol="1" rowPageCount="1" colPageCount="1"/>
  <pivotFields count="6">
    <pivotField numFmtId="22" showAll="0"/>
    <pivotField showAll="0"/>
    <pivotField axis="axisRow" showAll="0">
      <items count="14">
        <item sd="0" x="8"/>
        <item sd="0" x="5"/>
        <item x="10"/>
        <item x="6"/>
        <item x="0"/>
        <item x="11"/>
        <item x="4"/>
        <item x="1"/>
        <item x="12"/>
        <item x="7"/>
        <item x="9"/>
        <item x="3"/>
        <item x="2"/>
        <item t="default"/>
      </items>
    </pivotField>
    <pivotField axis="axisPage" showAll="0">
      <items count="161">
        <item x="141"/>
        <item x="95"/>
        <item x="37"/>
        <item x="18"/>
        <item x="67"/>
        <item x="54"/>
        <item x="36"/>
        <item x="121"/>
        <item x="149"/>
        <item x="154"/>
        <item x="87"/>
        <item x="109"/>
        <item x="118"/>
        <item x="148"/>
        <item x="139"/>
        <item x="0"/>
        <item x="51"/>
        <item x="125"/>
        <item x="24"/>
        <item x="71"/>
        <item x="117"/>
        <item x="38"/>
        <item x="145"/>
        <item x="158"/>
        <item x="116"/>
        <item x="83"/>
        <item x="113"/>
        <item x="119"/>
        <item x="13"/>
        <item x="50"/>
        <item x="98"/>
        <item x="75"/>
        <item x="2"/>
        <item x="35"/>
        <item x="33"/>
        <item x="105"/>
        <item x="156"/>
        <item x="86"/>
        <item x="17"/>
        <item x="133"/>
        <item x="16"/>
        <item x="70"/>
        <item x="147"/>
        <item x="80"/>
        <item x="103"/>
        <item x="99"/>
        <item x="84"/>
        <item x="6"/>
        <item x="110"/>
        <item x="115"/>
        <item x="76"/>
        <item x="100"/>
        <item x="8"/>
        <item x="101"/>
        <item x="135"/>
        <item x="5"/>
        <item x="146"/>
        <item x="32"/>
        <item x="132"/>
        <item x="44"/>
        <item x="159"/>
        <item x="74"/>
        <item x="15"/>
        <item x="143"/>
        <item x="108"/>
        <item x="151"/>
        <item x="19"/>
        <item x="91"/>
        <item x="85"/>
        <item x="31"/>
        <item x="60"/>
        <item x="29"/>
        <item x="72"/>
        <item x="61"/>
        <item x="122"/>
        <item x="130"/>
        <item x="90"/>
        <item x="89"/>
        <item x="9"/>
        <item x="68"/>
        <item x="77"/>
        <item x="102"/>
        <item x="114"/>
        <item x="55"/>
        <item x="81"/>
        <item x="79"/>
        <item x="140"/>
        <item x="150"/>
        <item x="88"/>
        <item x="3"/>
        <item x="142"/>
        <item x="120"/>
        <item x="34"/>
        <item x="137"/>
        <item x="10"/>
        <item x="59"/>
        <item x="134"/>
        <item x="46"/>
        <item x="64"/>
        <item x="107"/>
        <item x="7"/>
        <item x="124"/>
        <item x="123"/>
        <item x="26"/>
        <item x="23"/>
        <item x="157"/>
        <item x="112"/>
        <item x="52"/>
        <item x="78"/>
        <item x="94"/>
        <item x="82"/>
        <item x="96"/>
        <item x="41"/>
        <item x="53"/>
        <item x="97"/>
        <item x="65"/>
        <item x="43"/>
        <item x="144"/>
        <item x="136"/>
        <item x="153"/>
        <item x="30"/>
        <item x="73"/>
        <item x="63"/>
        <item x="138"/>
        <item x="69"/>
        <item x="4"/>
        <item x="66"/>
        <item x="131"/>
        <item x="21"/>
        <item x="104"/>
        <item x="14"/>
        <item x="126"/>
        <item x="12"/>
        <item x="128"/>
        <item x="93"/>
        <item x="27"/>
        <item x="106"/>
        <item x="40"/>
        <item x="28"/>
        <item x="42"/>
        <item x="92"/>
        <item x="45"/>
        <item x="11"/>
        <item x="49"/>
        <item x="39"/>
        <item x="1"/>
        <item x="129"/>
        <item x="127"/>
        <item x="48"/>
        <item x="56"/>
        <item x="25"/>
        <item x="22"/>
        <item x="62"/>
        <item x="20"/>
        <item x="152"/>
        <item x="58"/>
        <item x="47"/>
        <item x="111"/>
        <item x="57"/>
        <item x="155"/>
        <item t="default"/>
      </items>
    </pivotField>
    <pivotField axis="axisCol" showAll="0">
      <items count="3">
        <item x="0"/>
        <item x="1"/>
        <item t="default"/>
      </items>
    </pivotField>
    <pivotField dataField="1" numFmtId="164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Account2" fld="5" baseField="0" baseItem="0" numFmtId="164"/>
  </dataFields>
  <conditionalFormats count="3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4" count="1" selected="0">
              <x v="1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4" count="1" selected="0">
              <x v="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4" count="1" selected="0">
              <x v="0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D6869-0D2D-4B25-B5B9-9D7478F75AF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5:G11" firstHeaderRow="1" firstDataRow="1" firstDataCol="1"/>
  <pivotFields count="2">
    <pivotField axis="axisRow" showAll="0" measureFilter="1">
      <items count="20">
        <item x="18"/>
        <item x="17"/>
        <item x="11"/>
        <item x="10"/>
        <item x="9"/>
        <item x="6"/>
        <item x="14"/>
        <item x="16"/>
        <item x="13"/>
        <item x="2"/>
        <item x="3"/>
        <item x="12"/>
        <item x="4"/>
        <item x="1"/>
        <item x="8"/>
        <item x="0"/>
        <item x="15"/>
        <item x="5"/>
        <item x="7"/>
        <item t="default"/>
      </items>
    </pivotField>
    <pivotField dataField="1" showAll="0"/>
  </pivotFields>
  <rowFields count="1">
    <field x="0"/>
  </rowFields>
  <rowItems count="6">
    <i>
      <x v="4"/>
    </i>
    <i>
      <x v="8"/>
    </i>
    <i>
      <x v="10"/>
    </i>
    <i>
      <x v="11"/>
    </i>
    <i>
      <x v="17"/>
    </i>
    <i t="grand">
      <x/>
    </i>
  </rowItems>
  <colItems count="1">
    <i/>
  </colItems>
  <dataFields count="1">
    <dataField name="Sum of Expense" fld="1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EBDCE-946E-4058-BC4E-CDE461EEA281}" name="Table2" displayName="Table2" ref="A3:H258" totalsRowShown="0">
  <autoFilter ref="A3:H258" xr:uid="{9ABEBDCE-946E-4058-BC4E-CDE461EEA281}"/>
  <tableColumns count="8">
    <tableColumn id="1" xr3:uid="{2C387444-14D3-4F2C-99E9-D9896A43509A}" name="Date" dataDxfId="15"/>
    <tableColumn id="2" xr3:uid="{40CE4784-97D6-4AF2-8B39-BB85EF50DB5C}" name="Account"/>
    <tableColumn id="3" xr3:uid="{31874397-79DD-431D-9D24-44576E0D40FD}" name="Category"/>
    <tableColumn id="4" xr3:uid="{97812307-84E3-45BD-AB58-BC754AA9F046}" name="Note"/>
    <tableColumn id="5" xr3:uid="{52BD31BF-FFF4-4BE3-854E-2D28ABA04B6A}" name="Income/Expense"/>
    <tableColumn id="6" xr3:uid="{A4A4E6E6-EB2A-4F61-810A-7568FADFB04E}" name="Account2"/>
    <tableColumn id="7" xr3:uid="{4DFCF218-B0B6-43A9-BCF3-83A8E7227854}" name="Other"/>
    <tableColumn id="8" xr3:uid="{5AA9B32D-67B2-4975-B756-C20CFF167272}" name="Other Ite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CFF74-1FD1-4A4F-BE45-F6C64235EAAD}" name="Table1" displayName="Table1" ref="A1:C2" totalsRowShown="0">
  <autoFilter ref="A1:C2" xr:uid="{FFFCFF74-1FD1-4A4F-BE45-F6C64235EAAD}"/>
  <tableColumns count="3">
    <tableColumn id="1" xr3:uid="{E69CE6FF-735B-4CE8-8221-B2CEC4221D6C}" name="Total Expense">
      <calculatedColumnFormula>SUMIF(expense_data_1!E3:E279, expense_data_1!E204, expense_data_1!F3:F279)</calculatedColumnFormula>
    </tableColumn>
    <tableColumn id="2" xr3:uid="{AD3656EB-9F65-48F4-AA1D-57A94552EC6D}" name="Total Income">
      <calculatedColumnFormula>SUMIF(expense_data_1!E3:E279, expense_data_1!E258, expense_data_1!F3:F279)</calculatedColumnFormula>
    </tableColumn>
    <tableColumn id="3" xr3:uid="{7D0BD913-CFED-42C7-9AFE-8ECE8DF1D966}" name="Total Savings">
      <calculatedColumnFormula>B2-A2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56BF13-2CBA-4080-912B-3023B611B8DE}" name="Table3" displayName="Table3" ref="B6:E20" totalsRowShown="0" headerRowDxfId="4" headerRowCellStyle="20% - Accent3" dataCellStyle="20% - Accent3">
  <autoFilter ref="B6:E20" xr:uid="{D656BF13-2CBA-4080-912B-3023B611B8DE}"/>
  <tableColumns count="4">
    <tableColumn id="1" xr3:uid="{44D9521D-7603-46B0-9081-6B26511984DC}" name="Categories" dataDxfId="3" dataCellStyle="20% - Accent3"/>
    <tableColumn id="2" xr3:uid="{73FC282C-02FD-4A77-93F2-7BFF738B058F}" name="Expense" dataDxfId="2" dataCellStyle="20% - Accent3"/>
    <tableColumn id="3" xr3:uid="{615CD533-CE7E-4FFD-B73C-F3EFDE2139C9}" name="Income" dataDxfId="1" dataCellStyle="20% - Accent3"/>
    <tableColumn id="4" xr3:uid="{90965DB2-A9E3-43CB-9DD8-212704A0D4E3}" name="Grand Total" dataDxfId="0" dataCellStyle="20% - Accent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1AF8-7C77-49F8-A637-E10E58F6AA86}">
  <dimension ref="A1:I279"/>
  <sheetViews>
    <sheetView workbookViewId="0">
      <selection activeCell="D12" sqref="D12"/>
    </sheetView>
  </sheetViews>
  <sheetFormatPr defaultRowHeight="14.5" x14ac:dyDescent="0.35"/>
  <cols>
    <col min="1" max="1" width="15.54296875" bestFit="1" customWidth="1"/>
    <col min="2" max="2" width="19" bestFit="1" customWidth="1"/>
    <col min="3" max="3" width="15.54296875" bestFit="1" customWidth="1"/>
    <col min="4" max="4" width="37.54296875" bestFit="1" customWidth="1"/>
    <col min="5" max="5" width="14.81640625" bestFit="1" customWidth="1"/>
    <col min="6" max="6" width="11.1796875" style="4" bestFit="1" customWidth="1"/>
    <col min="7" max="7" width="16.81640625" customWidth="1"/>
    <col min="8" max="8" width="37.54296875" bestFit="1" customWidth="1"/>
  </cols>
  <sheetData>
    <row r="1" spans="1:9" x14ac:dyDescent="0.35">
      <c r="H1" s="2" t="s">
        <v>189</v>
      </c>
      <c r="I1" s="2" t="s">
        <v>8</v>
      </c>
    </row>
    <row r="2" spans="1:9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1</v>
      </c>
      <c r="H2" t="str" cm="1">
        <f t="array" ref="H2:I23">_xlfn._xlws.FILTER(
    CHOOSE({1,2}, D3:D279, F3:F279),
    (C3:C279 = "Other") * (E3:E279= "Expense")
)</f>
        <v>To lended people</v>
      </c>
      <c r="I2">
        <v>300</v>
      </c>
    </row>
    <row r="3" spans="1:9" x14ac:dyDescent="0.35">
      <c r="A3" s="1">
        <v>44622.424305555556</v>
      </c>
      <c r="B3" t="s">
        <v>5</v>
      </c>
      <c r="C3" t="s">
        <v>6</v>
      </c>
      <c r="D3" t="s">
        <v>7</v>
      </c>
      <c r="E3" t="s">
        <v>8</v>
      </c>
      <c r="F3" s="4">
        <v>50</v>
      </c>
      <c r="H3" t="str">
        <v>To karthi</v>
      </c>
      <c r="I3">
        <v>100</v>
      </c>
    </row>
    <row r="4" spans="1:9" x14ac:dyDescent="0.35">
      <c r="A4" s="1">
        <v>44622.424305555556</v>
      </c>
      <c r="B4" t="s">
        <v>5</v>
      </c>
      <c r="C4" t="s">
        <v>9</v>
      </c>
      <c r="D4" t="s">
        <v>10</v>
      </c>
      <c r="E4" t="s">
        <v>8</v>
      </c>
      <c r="F4" s="4">
        <v>300</v>
      </c>
      <c r="H4" t="str">
        <v>To auto anna</v>
      </c>
      <c r="I4">
        <v>50</v>
      </c>
    </row>
    <row r="5" spans="1:9" x14ac:dyDescent="0.35">
      <c r="A5" s="1">
        <v>44621.826388888891</v>
      </c>
      <c r="B5" t="s">
        <v>5</v>
      </c>
      <c r="C5" t="s">
        <v>6</v>
      </c>
      <c r="D5" t="s">
        <v>11</v>
      </c>
      <c r="E5" t="s">
        <v>8</v>
      </c>
      <c r="F5" s="4">
        <v>78</v>
      </c>
      <c r="H5" t="str">
        <v>To gobi</v>
      </c>
      <c r="I5">
        <v>1500</v>
      </c>
    </row>
    <row r="6" spans="1:9" x14ac:dyDescent="0.35">
      <c r="A6" s="1">
        <v>44621.788888888892</v>
      </c>
      <c r="B6" t="s">
        <v>5</v>
      </c>
      <c r="C6" t="s">
        <v>12</v>
      </c>
      <c r="D6" t="s">
        <v>13</v>
      </c>
      <c r="E6" t="s">
        <v>8</v>
      </c>
      <c r="F6" s="4">
        <v>30</v>
      </c>
      <c r="H6" t="str">
        <v>To gowdham</v>
      </c>
      <c r="I6">
        <v>150</v>
      </c>
    </row>
    <row r="7" spans="1:9" x14ac:dyDescent="0.35">
      <c r="A7" s="1">
        <v>44621.765277777777</v>
      </c>
      <c r="B7" t="s">
        <v>5</v>
      </c>
      <c r="C7" t="s">
        <v>6</v>
      </c>
      <c r="D7" t="s">
        <v>14</v>
      </c>
      <c r="E7" t="s">
        <v>8</v>
      </c>
      <c r="F7" s="4">
        <v>67</v>
      </c>
      <c r="H7" t="str">
        <v>To vicky</v>
      </c>
      <c r="I7">
        <v>200</v>
      </c>
    </row>
    <row r="8" spans="1:9" x14ac:dyDescent="0.35">
      <c r="A8" s="1">
        <v>44621.765277777777</v>
      </c>
      <c r="B8" t="s">
        <v>5</v>
      </c>
      <c r="C8" t="s">
        <v>9</v>
      </c>
      <c r="D8" t="s">
        <v>15</v>
      </c>
      <c r="E8" t="s">
        <v>16</v>
      </c>
      <c r="F8" s="4">
        <v>100</v>
      </c>
      <c r="H8" t="str">
        <v>Sent to barath</v>
      </c>
      <c r="I8">
        <v>100</v>
      </c>
    </row>
    <row r="9" spans="1:9" x14ac:dyDescent="0.35">
      <c r="A9" s="1">
        <v>44621.76458333333</v>
      </c>
      <c r="B9" t="s">
        <v>5</v>
      </c>
      <c r="C9" t="s">
        <v>9</v>
      </c>
      <c r="D9" t="s">
        <v>17</v>
      </c>
      <c r="E9" t="s">
        <v>16</v>
      </c>
      <c r="F9" s="4">
        <v>500</v>
      </c>
      <c r="H9" t="str">
        <v>To vicky</v>
      </c>
      <c r="I9">
        <v>300</v>
      </c>
    </row>
    <row r="10" spans="1:9" x14ac:dyDescent="0.35">
      <c r="A10" s="1">
        <v>44620.49722222222</v>
      </c>
      <c r="B10" t="s">
        <v>5</v>
      </c>
      <c r="C10" t="s">
        <v>6</v>
      </c>
      <c r="D10" t="s">
        <v>18</v>
      </c>
      <c r="E10" t="s">
        <v>8</v>
      </c>
      <c r="F10" s="4">
        <v>339.15</v>
      </c>
      <c r="H10" t="str">
        <v>To vishnu</v>
      </c>
      <c r="I10">
        <v>100</v>
      </c>
    </row>
    <row r="11" spans="1:9" x14ac:dyDescent="0.35">
      <c r="A11" s="1">
        <v>44620.489583333336</v>
      </c>
      <c r="B11" t="s">
        <v>5</v>
      </c>
      <c r="C11" t="s">
        <v>9</v>
      </c>
      <c r="D11" t="s">
        <v>19</v>
      </c>
      <c r="E11" t="s">
        <v>16</v>
      </c>
      <c r="F11" s="4">
        <v>200</v>
      </c>
      <c r="H11" t="str">
        <v>To kumara</v>
      </c>
      <c r="I11">
        <v>200</v>
      </c>
    </row>
    <row r="12" spans="1:9" x14ac:dyDescent="0.35">
      <c r="A12" s="1">
        <v>44619.645138888889</v>
      </c>
      <c r="B12" t="s">
        <v>5</v>
      </c>
      <c r="C12" t="s">
        <v>6</v>
      </c>
      <c r="D12" t="s">
        <v>20</v>
      </c>
      <c r="E12" t="s">
        <v>8</v>
      </c>
      <c r="F12" s="4">
        <v>243</v>
      </c>
      <c r="H12" t="str">
        <v>Recharge by gowdham</v>
      </c>
      <c r="I12">
        <v>479</v>
      </c>
    </row>
    <row r="13" spans="1:9" x14ac:dyDescent="0.35">
      <c r="A13" s="1">
        <v>44618.844444444447</v>
      </c>
      <c r="B13" t="s">
        <v>5</v>
      </c>
      <c r="C13" t="s">
        <v>6</v>
      </c>
      <c r="D13" t="s">
        <v>180</v>
      </c>
      <c r="E13" t="s">
        <v>8</v>
      </c>
      <c r="F13" s="4">
        <v>25</v>
      </c>
      <c r="H13" t="str">
        <v>Lended money returned to vishnu</v>
      </c>
      <c r="I13">
        <v>40</v>
      </c>
    </row>
    <row r="14" spans="1:9" x14ac:dyDescent="0.35">
      <c r="A14" s="1">
        <v>44618.734027777777</v>
      </c>
      <c r="B14" t="s">
        <v>5</v>
      </c>
      <c r="C14" t="s">
        <v>9</v>
      </c>
      <c r="D14" t="s">
        <v>17</v>
      </c>
      <c r="E14" t="s">
        <v>16</v>
      </c>
      <c r="F14" s="4">
        <v>1500</v>
      </c>
      <c r="H14" t="str">
        <v>Lended money returned to kumara</v>
      </c>
      <c r="I14">
        <v>30</v>
      </c>
    </row>
    <row r="15" spans="1:9" x14ac:dyDescent="0.35">
      <c r="A15" s="1">
        <v>44618.734027777777</v>
      </c>
      <c r="B15" t="s">
        <v>5</v>
      </c>
      <c r="C15" t="s">
        <v>9</v>
      </c>
      <c r="D15" t="s">
        <v>21</v>
      </c>
      <c r="E15" t="s">
        <v>8</v>
      </c>
      <c r="F15" s="4">
        <v>100</v>
      </c>
      <c r="H15" t="str">
        <v>To gobi 1st 1/4th</v>
      </c>
      <c r="I15">
        <v>500</v>
      </c>
    </row>
    <row r="16" spans="1:9" x14ac:dyDescent="0.35">
      <c r="A16" s="1">
        <v>44618.667361111111</v>
      </c>
      <c r="B16" t="s">
        <v>5</v>
      </c>
      <c r="C16" t="s">
        <v>22</v>
      </c>
      <c r="D16" t="s">
        <v>180</v>
      </c>
      <c r="E16" t="s">
        <v>8</v>
      </c>
      <c r="F16" s="4">
        <v>1700</v>
      </c>
      <c r="H16" t="str">
        <v>To abijith and to vicky lend money returned</v>
      </c>
      <c r="I16">
        <v>500</v>
      </c>
    </row>
    <row r="17" spans="1:9" x14ac:dyDescent="0.35">
      <c r="A17" s="1">
        <v>44618.588194444441</v>
      </c>
      <c r="B17" t="s">
        <v>5</v>
      </c>
      <c r="C17" t="s">
        <v>6</v>
      </c>
      <c r="D17" t="s">
        <v>14</v>
      </c>
      <c r="E17" t="s">
        <v>8</v>
      </c>
      <c r="F17" s="4">
        <v>40</v>
      </c>
      <c r="H17" t="str">
        <v>To vicky</v>
      </c>
      <c r="I17">
        <v>80</v>
      </c>
    </row>
    <row r="18" spans="1:9" x14ac:dyDescent="0.35">
      <c r="A18" s="1">
        <v>44618.068749999999</v>
      </c>
      <c r="B18" t="s">
        <v>5</v>
      </c>
      <c r="C18" t="s">
        <v>6</v>
      </c>
      <c r="D18" t="s">
        <v>23</v>
      </c>
      <c r="E18" t="s">
        <v>8</v>
      </c>
      <c r="F18" s="4">
        <v>84</v>
      </c>
      <c r="H18" t="str">
        <v>Tablet to gowdham</v>
      </c>
      <c r="I18">
        <v>8</v>
      </c>
    </row>
    <row r="19" spans="1:9" x14ac:dyDescent="0.35">
      <c r="A19" s="1">
        <v>44617.505555555559</v>
      </c>
      <c r="B19" t="s">
        <v>5</v>
      </c>
      <c r="C19" t="s">
        <v>6</v>
      </c>
      <c r="D19" t="s">
        <v>180</v>
      </c>
      <c r="E19" t="s">
        <v>8</v>
      </c>
      <c r="F19" s="4">
        <v>33</v>
      </c>
      <c r="H19" t="str">
        <v>To siva</v>
      </c>
      <c r="I19">
        <v>100</v>
      </c>
    </row>
    <row r="20" spans="1:9" x14ac:dyDescent="0.35">
      <c r="A20" s="1">
        <v>44616.938888888886</v>
      </c>
      <c r="B20" t="s">
        <v>5</v>
      </c>
      <c r="C20" t="s">
        <v>24</v>
      </c>
      <c r="D20" t="s">
        <v>180</v>
      </c>
      <c r="E20" t="s">
        <v>8</v>
      </c>
      <c r="F20" s="4">
        <v>303</v>
      </c>
      <c r="H20" t="str">
        <v>To kumara</v>
      </c>
      <c r="I20">
        <v>100</v>
      </c>
    </row>
    <row r="21" spans="1:9" x14ac:dyDescent="0.35">
      <c r="A21" s="1">
        <v>44616.931250000001</v>
      </c>
      <c r="B21" t="s">
        <v>5</v>
      </c>
      <c r="C21" t="s">
        <v>6</v>
      </c>
      <c r="D21" t="s">
        <v>25</v>
      </c>
      <c r="E21" t="s">
        <v>8</v>
      </c>
      <c r="F21" s="4">
        <v>289</v>
      </c>
      <c r="H21" t="str">
        <v>To abijith</v>
      </c>
      <c r="I21">
        <v>200</v>
      </c>
    </row>
    <row r="22" spans="1:9" x14ac:dyDescent="0.35">
      <c r="A22" s="1">
        <v>44616.802083333336</v>
      </c>
      <c r="B22" t="s">
        <v>5</v>
      </c>
      <c r="C22" t="s">
        <v>6</v>
      </c>
      <c r="D22" t="s">
        <v>26</v>
      </c>
      <c r="E22" t="s">
        <v>8</v>
      </c>
      <c r="F22" s="4">
        <v>324.7</v>
      </c>
      <c r="H22" t="str">
        <v>Gave to gowdham</v>
      </c>
      <c r="I22">
        <v>50</v>
      </c>
    </row>
    <row r="23" spans="1:9" x14ac:dyDescent="0.35">
      <c r="A23" s="1">
        <v>44615.732638888891</v>
      </c>
      <c r="B23" t="s">
        <v>5</v>
      </c>
      <c r="C23" t="s">
        <v>27</v>
      </c>
      <c r="D23" t="s">
        <v>28</v>
      </c>
      <c r="E23" t="s">
        <v>8</v>
      </c>
      <c r="F23" s="4">
        <v>399</v>
      </c>
      <c r="H23" t="str">
        <v>For company</v>
      </c>
      <c r="I23">
        <v>30</v>
      </c>
    </row>
    <row r="24" spans="1:9" x14ac:dyDescent="0.35">
      <c r="A24" s="1">
        <v>44615.67083333333</v>
      </c>
      <c r="B24" t="s">
        <v>5</v>
      </c>
      <c r="C24" t="s">
        <v>6</v>
      </c>
      <c r="D24" t="s">
        <v>29</v>
      </c>
      <c r="E24" t="s">
        <v>8</v>
      </c>
      <c r="F24" s="4">
        <v>83</v>
      </c>
    </row>
    <row r="25" spans="1:9" x14ac:dyDescent="0.35">
      <c r="A25" s="1">
        <v>44615.526388888888</v>
      </c>
      <c r="B25" t="s">
        <v>5</v>
      </c>
      <c r="C25" t="s">
        <v>27</v>
      </c>
      <c r="D25" t="s">
        <v>30</v>
      </c>
      <c r="E25" t="s">
        <v>8</v>
      </c>
      <c r="F25" s="4">
        <v>399</v>
      </c>
    </row>
    <row r="26" spans="1:9" x14ac:dyDescent="0.35">
      <c r="A26" s="1">
        <v>44614.272916666669</v>
      </c>
      <c r="B26" t="s">
        <v>5</v>
      </c>
      <c r="C26" t="s">
        <v>12</v>
      </c>
      <c r="D26" t="s">
        <v>31</v>
      </c>
      <c r="E26" t="s">
        <v>8</v>
      </c>
      <c r="F26" s="4">
        <v>120</v>
      </c>
    </row>
    <row r="27" spans="1:9" x14ac:dyDescent="0.35">
      <c r="A27" s="1">
        <v>44613.927083333336</v>
      </c>
      <c r="B27" t="s">
        <v>5</v>
      </c>
      <c r="C27" t="s">
        <v>12</v>
      </c>
      <c r="D27" t="s">
        <v>32</v>
      </c>
      <c r="E27" t="s">
        <v>8</v>
      </c>
      <c r="F27" s="4">
        <v>1300</v>
      </c>
    </row>
    <row r="28" spans="1:9" x14ac:dyDescent="0.35">
      <c r="A28" s="1">
        <v>44613.67083333333</v>
      </c>
      <c r="B28" t="s">
        <v>5</v>
      </c>
      <c r="C28" t="s">
        <v>12</v>
      </c>
      <c r="D28" t="s">
        <v>33</v>
      </c>
      <c r="E28" t="s">
        <v>8</v>
      </c>
      <c r="F28" s="4">
        <v>138</v>
      </c>
    </row>
    <row r="29" spans="1:9" x14ac:dyDescent="0.35">
      <c r="A29" s="1">
        <v>44613.652777777781</v>
      </c>
      <c r="B29" t="s">
        <v>5</v>
      </c>
      <c r="C29" t="s">
        <v>24</v>
      </c>
      <c r="D29" t="s">
        <v>34</v>
      </c>
      <c r="E29" t="s">
        <v>8</v>
      </c>
      <c r="F29" s="4">
        <v>336</v>
      </c>
    </row>
    <row r="30" spans="1:9" x14ac:dyDescent="0.35">
      <c r="A30" s="1">
        <v>44613.651388888888</v>
      </c>
      <c r="B30" t="s">
        <v>5</v>
      </c>
      <c r="C30" t="s">
        <v>12</v>
      </c>
      <c r="D30" t="s">
        <v>35</v>
      </c>
      <c r="E30" t="s">
        <v>8</v>
      </c>
      <c r="F30" s="4">
        <v>201.8</v>
      </c>
    </row>
    <row r="31" spans="1:9" x14ac:dyDescent="0.35">
      <c r="A31" s="1">
        <v>44612.64166666667</v>
      </c>
      <c r="B31" t="s">
        <v>5</v>
      </c>
      <c r="C31" t="s">
        <v>6</v>
      </c>
      <c r="D31" t="s">
        <v>20</v>
      </c>
      <c r="E31" t="s">
        <v>8</v>
      </c>
      <c r="F31" s="4">
        <v>200</v>
      </c>
    </row>
    <row r="32" spans="1:9" x14ac:dyDescent="0.35">
      <c r="A32" s="1">
        <v>44611.960416666669</v>
      </c>
      <c r="B32" t="s">
        <v>5</v>
      </c>
      <c r="C32" t="s">
        <v>6</v>
      </c>
      <c r="D32" t="s">
        <v>36</v>
      </c>
      <c r="E32" t="s">
        <v>8</v>
      </c>
      <c r="F32" s="4">
        <v>111</v>
      </c>
    </row>
    <row r="33" spans="1:6" x14ac:dyDescent="0.35">
      <c r="A33" s="1">
        <v>44611.914583333331</v>
      </c>
      <c r="B33" t="s">
        <v>5</v>
      </c>
      <c r="C33" t="s">
        <v>6</v>
      </c>
      <c r="D33" t="s">
        <v>14</v>
      </c>
      <c r="E33" t="s">
        <v>8</v>
      </c>
      <c r="F33" s="4">
        <v>250</v>
      </c>
    </row>
    <row r="34" spans="1:6" x14ac:dyDescent="0.35">
      <c r="A34" s="1">
        <v>44611.899305555555</v>
      </c>
      <c r="B34" t="s">
        <v>5</v>
      </c>
      <c r="C34" t="s">
        <v>12</v>
      </c>
      <c r="D34" t="s">
        <v>37</v>
      </c>
      <c r="E34" t="s">
        <v>8</v>
      </c>
      <c r="F34" s="4">
        <v>1575</v>
      </c>
    </row>
    <row r="35" spans="1:6" x14ac:dyDescent="0.35">
      <c r="A35" s="1">
        <v>44611.864583333336</v>
      </c>
      <c r="B35" t="s">
        <v>5</v>
      </c>
      <c r="C35" t="s">
        <v>12</v>
      </c>
      <c r="D35" t="s">
        <v>38</v>
      </c>
      <c r="E35" t="s">
        <v>8</v>
      </c>
      <c r="F35" s="4">
        <v>200</v>
      </c>
    </row>
    <row r="36" spans="1:6" x14ac:dyDescent="0.35">
      <c r="A36" s="1">
        <v>44611.864583333336</v>
      </c>
      <c r="B36" t="s">
        <v>5</v>
      </c>
      <c r="C36" t="s">
        <v>6</v>
      </c>
      <c r="D36" t="s">
        <v>39</v>
      </c>
      <c r="E36" t="s">
        <v>8</v>
      </c>
      <c r="F36" s="4">
        <v>380</v>
      </c>
    </row>
    <row r="37" spans="1:6" x14ac:dyDescent="0.35">
      <c r="A37" s="1">
        <v>44611.351388888892</v>
      </c>
      <c r="B37" t="s">
        <v>5</v>
      </c>
      <c r="C37" t="s">
        <v>12</v>
      </c>
      <c r="D37" t="s">
        <v>13</v>
      </c>
      <c r="E37" t="s">
        <v>8</v>
      </c>
      <c r="F37" s="4">
        <v>60</v>
      </c>
    </row>
    <row r="38" spans="1:6" x14ac:dyDescent="0.35">
      <c r="A38" s="1">
        <v>44611.268750000003</v>
      </c>
      <c r="B38" t="s">
        <v>5</v>
      </c>
      <c r="C38" t="s">
        <v>9</v>
      </c>
      <c r="D38" t="s">
        <v>40</v>
      </c>
      <c r="E38" t="s">
        <v>8</v>
      </c>
      <c r="F38" s="4">
        <v>50</v>
      </c>
    </row>
    <row r="39" spans="1:6" x14ac:dyDescent="0.35">
      <c r="A39" s="1">
        <v>44611.262499999997</v>
      </c>
      <c r="B39" t="s">
        <v>5</v>
      </c>
      <c r="C39" t="s">
        <v>12</v>
      </c>
      <c r="D39" t="s">
        <v>41</v>
      </c>
      <c r="E39" t="s">
        <v>8</v>
      </c>
      <c r="F39" s="4">
        <v>270</v>
      </c>
    </row>
    <row r="40" spans="1:6" x14ac:dyDescent="0.35">
      <c r="A40" s="1">
        <v>44610.959027777775</v>
      </c>
      <c r="B40" t="s">
        <v>5</v>
      </c>
      <c r="C40" t="s">
        <v>6</v>
      </c>
      <c r="D40" t="s">
        <v>42</v>
      </c>
      <c r="E40" t="s">
        <v>8</v>
      </c>
      <c r="F40" s="4">
        <v>348</v>
      </c>
    </row>
    <row r="41" spans="1:6" x14ac:dyDescent="0.35">
      <c r="A41" s="1">
        <v>44609.549305555556</v>
      </c>
      <c r="B41" t="s">
        <v>5</v>
      </c>
      <c r="C41" t="s">
        <v>6</v>
      </c>
      <c r="D41" t="s">
        <v>20</v>
      </c>
      <c r="E41" t="s">
        <v>8</v>
      </c>
      <c r="F41" s="4">
        <v>80</v>
      </c>
    </row>
    <row r="42" spans="1:6" x14ac:dyDescent="0.35">
      <c r="A42" s="1">
        <v>44608.706250000003</v>
      </c>
      <c r="B42" t="s">
        <v>5</v>
      </c>
      <c r="C42" t="s">
        <v>6</v>
      </c>
      <c r="D42" t="s">
        <v>43</v>
      </c>
      <c r="E42" t="s">
        <v>8</v>
      </c>
      <c r="F42" s="4">
        <v>165</v>
      </c>
    </row>
    <row r="43" spans="1:6" x14ac:dyDescent="0.35">
      <c r="A43" s="1">
        <v>44608.706250000003</v>
      </c>
      <c r="B43" t="s">
        <v>5</v>
      </c>
      <c r="C43" t="s">
        <v>6</v>
      </c>
      <c r="D43" t="s">
        <v>44</v>
      </c>
      <c r="E43" t="s">
        <v>8</v>
      </c>
      <c r="F43" s="4">
        <v>475</v>
      </c>
    </row>
    <row r="44" spans="1:6" x14ac:dyDescent="0.35">
      <c r="A44" s="1">
        <v>44605.912499999999</v>
      </c>
      <c r="B44" t="s">
        <v>5</v>
      </c>
      <c r="C44" t="s">
        <v>22</v>
      </c>
      <c r="D44" t="s">
        <v>45</v>
      </c>
      <c r="E44" t="s">
        <v>8</v>
      </c>
      <c r="F44" s="4">
        <v>100</v>
      </c>
    </row>
    <row r="45" spans="1:6" x14ac:dyDescent="0.35">
      <c r="A45" s="1">
        <v>44604.888888888891</v>
      </c>
      <c r="B45" t="s">
        <v>5</v>
      </c>
      <c r="C45" t="s">
        <v>6</v>
      </c>
      <c r="D45" t="s">
        <v>46</v>
      </c>
      <c r="E45" t="s">
        <v>8</v>
      </c>
      <c r="F45" s="4">
        <v>491</v>
      </c>
    </row>
    <row r="46" spans="1:6" x14ac:dyDescent="0.35">
      <c r="A46" s="1">
        <v>44604.669444444444</v>
      </c>
      <c r="B46" t="s">
        <v>5</v>
      </c>
      <c r="C46" t="s">
        <v>24</v>
      </c>
      <c r="D46" t="s">
        <v>47</v>
      </c>
      <c r="E46" t="s">
        <v>8</v>
      </c>
      <c r="F46" s="4">
        <v>70</v>
      </c>
    </row>
    <row r="47" spans="1:6" x14ac:dyDescent="0.35">
      <c r="A47" s="1">
        <v>44604.616666666669</v>
      </c>
      <c r="B47" t="s">
        <v>5</v>
      </c>
      <c r="C47" t="s">
        <v>6</v>
      </c>
      <c r="D47" t="s">
        <v>20</v>
      </c>
      <c r="E47" t="s">
        <v>8</v>
      </c>
      <c r="F47" s="4">
        <v>80</v>
      </c>
    </row>
    <row r="48" spans="1:6" x14ac:dyDescent="0.35">
      <c r="A48" s="1">
        <v>44604.615972222222</v>
      </c>
      <c r="B48" t="s">
        <v>5</v>
      </c>
      <c r="C48" t="s">
        <v>9</v>
      </c>
      <c r="D48" t="s">
        <v>17</v>
      </c>
      <c r="E48" t="s">
        <v>16</v>
      </c>
      <c r="F48" s="4">
        <v>10000</v>
      </c>
    </row>
    <row r="49" spans="1:6" x14ac:dyDescent="0.35">
      <c r="A49" s="1">
        <v>44603.945138888892</v>
      </c>
      <c r="B49" t="s">
        <v>5</v>
      </c>
      <c r="C49" t="s">
        <v>6</v>
      </c>
      <c r="D49" t="s">
        <v>48</v>
      </c>
      <c r="E49" t="s">
        <v>8</v>
      </c>
      <c r="F49" s="4">
        <v>373</v>
      </c>
    </row>
    <row r="50" spans="1:6" x14ac:dyDescent="0.35">
      <c r="A50" s="1">
        <v>44602.84375</v>
      </c>
      <c r="B50" t="s">
        <v>5</v>
      </c>
      <c r="C50" t="s">
        <v>6</v>
      </c>
      <c r="D50" t="s">
        <v>42</v>
      </c>
      <c r="E50" t="s">
        <v>8</v>
      </c>
      <c r="F50" s="4">
        <v>641</v>
      </c>
    </row>
    <row r="51" spans="1:6" x14ac:dyDescent="0.35">
      <c r="A51" s="1">
        <v>44600.442361111112</v>
      </c>
      <c r="B51" t="s">
        <v>5</v>
      </c>
      <c r="C51" t="s">
        <v>9</v>
      </c>
      <c r="D51" t="s">
        <v>17</v>
      </c>
      <c r="E51" t="s">
        <v>16</v>
      </c>
      <c r="F51" s="4">
        <v>1000</v>
      </c>
    </row>
    <row r="52" spans="1:6" x14ac:dyDescent="0.35">
      <c r="A52" s="1">
        <v>44600.387499999997</v>
      </c>
      <c r="B52" t="s">
        <v>5</v>
      </c>
      <c r="C52" t="s">
        <v>24</v>
      </c>
      <c r="D52" t="s">
        <v>49</v>
      </c>
      <c r="E52" t="s">
        <v>8</v>
      </c>
      <c r="F52" s="4">
        <v>2099</v>
      </c>
    </row>
    <row r="53" spans="1:6" x14ac:dyDescent="0.35">
      <c r="A53" s="1">
        <v>44599.297222222223</v>
      </c>
      <c r="B53" t="s">
        <v>5</v>
      </c>
      <c r="C53" t="s">
        <v>12</v>
      </c>
      <c r="D53" t="s">
        <v>50</v>
      </c>
      <c r="E53" t="s">
        <v>8</v>
      </c>
      <c r="F53" s="4">
        <v>214</v>
      </c>
    </row>
    <row r="54" spans="1:6" x14ac:dyDescent="0.35">
      <c r="A54" s="1">
        <v>44598.772222222222</v>
      </c>
      <c r="B54" t="s">
        <v>5</v>
      </c>
      <c r="C54" t="s">
        <v>6</v>
      </c>
      <c r="D54" t="s">
        <v>51</v>
      </c>
      <c r="E54" t="s">
        <v>8</v>
      </c>
      <c r="F54" s="4">
        <v>125</v>
      </c>
    </row>
    <row r="55" spans="1:6" x14ac:dyDescent="0.35">
      <c r="A55" s="1">
        <v>44598.745138888888</v>
      </c>
      <c r="B55" t="s">
        <v>5</v>
      </c>
      <c r="C55" t="s">
        <v>6</v>
      </c>
      <c r="D55" t="s">
        <v>52</v>
      </c>
      <c r="E55" t="s">
        <v>8</v>
      </c>
      <c r="F55" s="4">
        <v>150</v>
      </c>
    </row>
    <row r="56" spans="1:6" x14ac:dyDescent="0.35">
      <c r="A56" s="1">
        <v>44598.744444444441</v>
      </c>
      <c r="B56" t="s">
        <v>5</v>
      </c>
      <c r="C56" t="s">
        <v>12</v>
      </c>
      <c r="D56" t="s">
        <v>53</v>
      </c>
      <c r="E56" t="s">
        <v>8</v>
      </c>
      <c r="F56" s="4">
        <v>1000</v>
      </c>
    </row>
    <row r="57" spans="1:6" x14ac:dyDescent="0.35">
      <c r="A57" s="1">
        <v>44598.695138888892</v>
      </c>
      <c r="B57" t="s">
        <v>5</v>
      </c>
      <c r="C57" t="s">
        <v>9</v>
      </c>
      <c r="D57" t="s">
        <v>54</v>
      </c>
      <c r="E57" t="s">
        <v>16</v>
      </c>
      <c r="F57" s="4">
        <v>5000</v>
      </c>
    </row>
    <row r="58" spans="1:6" x14ac:dyDescent="0.35">
      <c r="A58" s="1">
        <v>44598.694444444445</v>
      </c>
      <c r="B58" t="s">
        <v>5</v>
      </c>
      <c r="C58" t="s">
        <v>9</v>
      </c>
      <c r="D58" t="s">
        <v>55</v>
      </c>
      <c r="E58" t="s">
        <v>8</v>
      </c>
      <c r="F58" s="4">
        <v>1500</v>
      </c>
    </row>
    <row r="59" spans="1:6" x14ac:dyDescent="0.35">
      <c r="A59" s="1">
        <v>44596.852777777778</v>
      </c>
      <c r="B59" t="s">
        <v>5</v>
      </c>
      <c r="C59" t="s">
        <v>6</v>
      </c>
      <c r="D59" t="s">
        <v>56</v>
      </c>
      <c r="E59" t="s">
        <v>8</v>
      </c>
      <c r="F59" s="4">
        <v>80</v>
      </c>
    </row>
    <row r="60" spans="1:6" x14ac:dyDescent="0.35">
      <c r="A60" s="1">
        <v>44595.620138888888</v>
      </c>
      <c r="B60" t="s">
        <v>5</v>
      </c>
      <c r="C60" t="s">
        <v>6</v>
      </c>
      <c r="D60" t="s">
        <v>57</v>
      </c>
      <c r="E60" t="s">
        <v>8</v>
      </c>
      <c r="F60" s="4">
        <v>50</v>
      </c>
    </row>
    <row r="61" spans="1:6" x14ac:dyDescent="0.35">
      <c r="A61" s="1">
        <v>44595.374305555553</v>
      </c>
      <c r="B61" t="s">
        <v>5</v>
      </c>
      <c r="C61" t="s">
        <v>9</v>
      </c>
      <c r="D61" t="s">
        <v>58</v>
      </c>
      <c r="E61" t="s">
        <v>8</v>
      </c>
      <c r="F61" s="4">
        <v>150</v>
      </c>
    </row>
    <row r="62" spans="1:6" x14ac:dyDescent="0.35">
      <c r="A62" s="1">
        <v>44594.84375</v>
      </c>
      <c r="B62" t="s">
        <v>5</v>
      </c>
      <c r="C62" t="s">
        <v>6</v>
      </c>
      <c r="D62" t="s">
        <v>59</v>
      </c>
      <c r="E62" t="s">
        <v>8</v>
      </c>
      <c r="F62" s="4">
        <v>120</v>
      </c>
    </row>
    <row r="63" spans="1:6" x14ac:dyDescent="0.35">
      <c r="A63" s="1">
        <v>44594.843055555553</v>
      </c>
      <c r="B63" t="s">
        <v>5</v>
      </c>
      <c r="C63" t="s">
        <v>9</v>
      </c>
      <c r="D63" t="s">
        <v>17</v>
      </c>
      <c r="E63" t="s">
        <v>16</v>
      </c>
      <c r="F63" s="4">
        <v>500</v>
      </c>
    </row>
    <row r="64" spans="1:6" x14ac:dyDescent="0.35">
      <c r="A64" s="1">
        <v>44592.363888888889</v>
      </c>
      <c r="B64" t="s">
        <v>5</v>
      </c>
      <c r="C64" t="s">
        <v>12</v>
      </c>
      <c r="D64" t="s">
        <v>60</v>
      </c>
      <c r="E64" t="s">
        <v>8</v>
      </c>
      <c r="F64" s="4">
        <v>50</v>
      </c>
    </row>
    <row r="65" spans="1:6" x14ac:dyDescent="0.35">
      <c r="A65" s="1">
        <v>44592.352083333331</v>
      </c>
      <c r="B65" t="s">
        <v>5</v>
      </c>
      <c r="C65" t="s">
        <v>9</v>
      </c>
      <c r="D65" t="s">
        <v>61</v>
      </c>
      <c r="E65" t="s">
        <v>8</v>
      </c>
      <c r="F65" s="4">
        <v>200</v>
      </c>
    </row>
    <row r="66" spans="1:6" x14ac:dyDescent="0.35">
      <c r="A66" s="1">
        <v>44592.351388888892</v>
      </c>
      <c r="B66" t="s">
        <v>5</v>
      </c>
      <c r="C66" t="s">
        <v>12</v>
      </c>
      <c r="D66" t="s">
        <v>62</v>
      </c>
      <c r="E66" t="s">
        <v>8</v>
      </c>
      <c r="F66" s="4">
        <v>153</v>
      </c>
    </row>
    <row r="67" spans="1:6" x14ac:dyDescent="0.35">
      <c r="A67" s="1">
        <v>44591.803472222222</v>
      </c>
      <c r="B67" t="s">
        <v>5</v>
      </c>
      <c r="C67" t="s">
        <v>6</v>
      </c>
      <c r="D67" t="s">
        <v>11</v>
      </c>
      <c r="E67" t="s">
        <v>8</v>
      </c>
      <c r="F67" s="4">
        <v>155</v>
      </c>
    </row>
    <row r="68" spans="1:6" x14ac:dyDescent="0.35">
      <c r="A68" s="1">
        <v>44591.792361111111</v>
      </c>
      <c r="B68" t="s">
        <v>5</v>
      </c>
      <c r="C68" t="s">
        <v>6</v>
      </c>
      <c r="D68" t="s">
        <v>63</v>
      </c>
      <c r="E68" t="s">
        <v>8</v>
      </c>
      <c r="F68" s="4">
        <v>120</v>
      </c>
    </row>
    <row r="69" spans="1:6" x14ac:dyDescent="0.35">
      <c r="A69" s="1">
        <v>44591.519444444442</v>
      </c>
      <c r="B69" t="s">
        <v>5</v>
      </c>
      <c r="C69" t="s">
        <v>6</v>
      </c>
      <c r="D69" t="s">
        <v>64</v>
      </c>
      <c r="E69" t="s">
        <v>8</v>
      </c>
      <c r="F69" s="4">
        <v>105</v>
      </c>
    </row>
    <row r="70" spans="1:6" x14ac:dyDescent="0.35">
      <c r="A70" s="1">
        <v>44590.913888888892</v>
      </c>
      <c r="B70" t="s">
        <v>5</v>
      </c>
      <c r="C70" t="s">
        <v>12</v>
      </c>
      <c r="D70" t="s">
        <v>65</v>
      </c>
      <c r="E70" t="s">
        <v>8</v>
      </c>
      <c r="F70" s="4">
        <v>44</v>
      </c>
    </row>
    <row r="71" spans="1:6" x14ac:dyDescent="0.35">
      <c r="A71" s="1">
        <v>44590.613888888889</v>
      </c>
      <c r="B71" t="s">
        <v>5</v>
      </c>
      <c r="C71" t="s">
        <v>9</v>
      </c>
      <c r="D71" t="s">
        <v>66</v>
      </c>
      <c r="E71" t="s">
        <v>8</v>
      </c>
      <c r="F71" s="4">
        <v>100</v>
      </c>
    </row>
    <row r="72" spans="1:6" x14ac:dyDescent="0.35">
      <c r="A72" s="1">
        <v>44589.915277777778</v>
      </c>
      <c r="B72" t="s">
        <v>5</v>
      </c>
      <c r="C72" t="s">
        <v>6</v>
      </c>
      <c r="D72" t="s">
        <v>67</v>
      </c>
      <c r="E72" t="s">
        <v>8</v>
      </c>
      <c r="F72" s="4">
        <v>10</v>
      </c>
    </row>
    <row r="73" spans="1:6" x14ac:dyDescent="0.35">
      <c r="A73" s="1">
        <v>44589.599305555559</v>
      </c>
      <c r="B73" t="s">
        <v>5</v>
      </c>
      <c r="C73" t="s">
        <v>6</v>
      </c>
      <c r="D73" t="s">
        <v>68</v>
      </c>
      <c r="E73" t="s">
        <v>8</v>
      </c>
      <c r="F73" s="4">
        <v>138</v>
      </c>
    </row>
    <row r="74" spans="1:6" x14ac:dyDescent="0.35">
      <c r="A74" s="1">
        <v>44588.892361111109</v>
      </c>
      <c r="B74" t="s">
        <v>5</v>
      </c>
      <c r="C74" t="s">
        <v>12</v>
      </c>
      <c r="D74" t="s">
        <v>65</v>
      </c>
      <c r="E74" t="s">
        <v>8</v>
      </c>
      <c r="F74" s="4">
        <v>43</v>
      </c>
    </row>
    <row r="75" spans="1:6" x14ac:dyDescent="0.35">
      <c r="A75" s="1">
        <v>44588.570138888892</v>
      </c>
      <c r="B75" t="s">
        <v>5</v>
      </c>
      <c r="C75" t="s">
        <v>9</v>
      </c>
      <c r="D75" t="s">
        <v>61</v>
      </c>
      <c r="E75" t="s">
        <v>8</v>
      </c>
      <c r="F75" s="4">
        <v>300</v>
      </c>
    </row>
    <row r="76" spans="1:6" x14ac:dyDescent="0.35">
      <c r="A76" s="1">
        <v>44588.570138888892</v>
      </c>
      <c r="B76" t="s">
        <v>5</v>
      </c>
      <c r="C76" t="s">
        <v>9</v>
      </c>
      <c r="D76" t="s">
        <v>69</v>
      </c>
      <c r="E76" t="s">
        <v>8</v>
      </c>
      <c r="F76" s="4">
        <v>100</v>
      </c>
    </row>
    <row r="77" spans="1:6" x14ac:dyDescent="0.35">
      <c r="A77" s="1">
        <v>44588.568749999999</v>
      </c>
      <c r="B77" t="s">
        <v>5</v>
      </c>
      <c r="C77" t="s">
        <v>6</v>
      </c>
      <c r="D77" t="s">
        <v>70</v>
      </c>
      <c r="E77" t="s">
        <v>8</v>
      </c>
      <c r="F77" s="4">
        <v>279</v>
      </c>
    </row>
    <row r="78" spans="1:6" x14ac:dyDescent="0.35">
      <c r="A78" s="1">
        <v>44588.568055555559</v>
      </c>
      <c r="B78" t="s">
        <v>5</v>
      </c>
      <c r="C78" t="s">
        <v>9</v>
      </c>
      <c r="D78" t="s">
        <v>15</v>
      </c>
      <c r="E78" t="s">
        <v>16</v>
      </c>
      <c r="F78" s="4">
        <v>300</v>
      </c>
    </row>
    <row r="79" spans="1:6" x14ac:dyDescent="0.35">
      <c r="A79" s="1">
        <v>44588.568055555559</v>
      </c>
      <c r="B79" t="s">
        <v>5</v>
      </c>
      <c r="C79" t="s">
        <v>9</v>
      </c>
      <c r="D79" t="s">
        <v>17</v>
      </c>
      <c r="E79" t="s">
        <v>16</v>
      </c>
      <c r="F79" s="4">
        <v>1500</v>
      </c>
    </row>
    <row r="80" spans="1:6" x14ac:dyDescent="0.35">
      <c r="A80" s="1">
        <v>44587.739583333336</v>
      </c>
      <c r="B80" t="s">
        <v>5</v>
      </c>
      <c r="C80" t="s">
        <v>6</v>
      </c>
      <c r="D80" t="s">
        <v>14</v>
      </c>
      <c r="E80" t="s">
        <v>8</v>
      </c>
      <c r="F80" s="4">
        <v>115</v>
      </c>
    </row>
    <row r="81" spans="1:6" x14ac:dyDescent="0.35">
      <c r="A81" s="1">
        <v>44587.739583333336</v>
      </c>
      <c r="B81" t="s">
        <v>5</v>
      </c>
      <c r="C81" t="s">
        <v>9</v>
      </c>
      <c r="D81" t="s">
        <v>71</v>
      </c>
      <c r="E81" t="s">
        <v>16</v>
      </c>
      <c r="F81" s="4">
        <v>125</v>
      </c>
    </row>
    <row r="82" spans="1:6" x14ac:dyDescent="0.35">
      <c r="A82" s="1">
        <v>44587.702777777777</v>
      </c>
      <c r="B82" t="s">
        <v>5</v>
      </c>
      <c r="C82" t="s">
        <v>6</v>
      </c>
      <c r="D82" t="s">
        <v>72</v>
      </c>
      <c r="E82" t="s">
        <v>8</v>
      </c>
      <c r="F82" s="4">
        <v>25</v>
      </c>
    </row>
    <row r="83" spans="1:6" x14ac:dyDescent="0.35">
      <c r="A83" s="1">
        <v>44586.565972222219</v>
      </c>
      <c r="B83" t="s">
        <v>5</v>
      </c>
      <c r="C83" t="s">
        <v>6</v>
      </c>
      <c r="D83" t="s">
        <v>73</v>
      </c>
      <c r="E83" t="s">
        <v>8</v>
      </c>
      <c r="F83" s="4">
        <v>259</v>
      </c>
    </row>
    <row r="84" spans="1:6" x14ac:dyDescent="0.35">
      <c r="A84" s="1">
        <v>44586.432638888888</v>
      </c>
      <c r="B84" t="s">
        <v>5</v>
      </c>
      <c r="C84" t="s">
        <v>6</v>
      </c>
      <c r="D84" t="s">
        <v>74</v>
      </c>
      <c r="E84" t="s">
        <v>8</v>
      </c>
      <c r="F84" s="4">
        <v>18</v>
      </c>
    </row>
    <row r="85" spans="1:6" x14ac:dyDescent="0.35">
      <c r="A85" s="1">
        <v>44586.388888888891</v>
      </c>
      <c r="B85" t="s">
        <v>5</v>
      </c>
      <c r="C85" t="s">
        <v>12</v>
      </c>
      <c r="D85" t="s">
        <v>75</v>
      </c>
      <c r="E85" t="s">
        <v>8</v>
      </c>
      <c r="F85" s="4">
        <v>325</v>
      </c>
    </row>
    <row r="86" spans="1:6" x14ac:dyDescent="0.35">
      <c r="A86" s="1">
        <v>44585.845138888886</v>
      </c>
      <c r="B86" t="s">
        <v>5</v>
      </c>
      <c r="C86" t="s">
        <v>6</v>
      </c>
      <c r="D86" t="s">
        <v>76</v>
      </c>
      <c r="E86" t="s">
        <v>8</v>
      </c>
      <c r="F86" s="4">
        <v>40</v>
      </c>
    </row>
    <row r="87" spans="1:6" x14ac:dyDescent="0.35">
      <c r="A87" s="1">
        <v>44585.588888888888</v>
      </c>
      <c r="B87" t="s">
        <v>5</v>
      </c>
      <c r="C87" t="s">
        <v>6</v>
      </c>
      <c r="D87" t="s">
        <v>68</v>
      </c>
      <c r="E87" t="s">
        <v>8</v>
      </c>
      <c r="F87" s="4">
        <v>133</v>
      </c>
    </row>
    <row r="88" spans="1:6" x14ac:dyDescent="0.35">
      <c r="A88" s="1">
        <v>44584.90625</v>
      </c>
      <c r="B88" t="s">
        <v>5</v>
      </c>
      <c r="C88" t="s">
        <v>6</v>
      </c>
      <c r="D88" t="s">
        <v>77</v>
      </c>
      <c r="E88" t="s">
        <v>8</v>
      </c>
      <c r="F88" s="4">
        <v>40</v>
      </c>
    </row>
    <row r="89" spans="1:6" x14ac:dyDescent="0.35">
      <c r="A89" s="1">
        <v>44584.90347222222</v>
      </c>
      <c r="B89" t="s">
        <v>5</v>
      </c>
      <c r="C89" t="s">
        <v>6</v>
      </c>
      <c r="D89" t="s">
        <v>11</v>
      </c>
      <c r="E89" t="s">
        <v>8</v>
      </c>
      <c r="F89" s="4">
        <v>465</v>
      </c>
    </row>
    <row r="90" spans="1:6" x14ac:dyDescent="0.35">
      <c r="A90" s="1">
        <v>44584.895138888889</v>
      </c>
      <c r="B90" t="s">
        <v>5</v>
      </c>
      <c r="C90" t="s">
        <v>6</v>
      </c>
      <c r="D90" t="s">
        <v>78</v>
      </c>
      <c r="E90" t="s">
        <v>8</v>
      </c>
      <c r="F90" s="4">
        <v>300</v>
      </c>
    </row>
    <row r="91" spans="1:6" x14ac:dyDescent="0.35">
      <c r="A91" s="1">
        <v>44584.895138888889</v>
      </c>
      <c r="B91" t="s">
        <v>5</v>
      </c>
      <c r="C91" t="s">
        <v>6</v>
      </c>
      <c r="D91" t="s">
        <v>20</v>
      </c>
      <c r="E91" t="s">
        <v>8</v>
      </c>
      <c r="F91" s="4">
        <v>302</v>
      </c>
    </row>
    <row r="92" spans="1:6" x14ac:dyDescent="0.35">
      <c r="A92" s="1">
        <v>44584.895138888889</v>
      </c>
      <c r="B92" t="s">
        <v>5</v>
      </c>
      <c r="C92" t="s">
        <v>9</v>
      </c>
      <c r="D92" t="s">
        <v>15</v>
      </c>
      <c r="E92" t="s">
        <v>16</v>
      </c>
      <c r="F92" s="4">
        <v>310</v>
      </c>
    </row>
    <row r="93" spans="1:6" x14ac:dyDescent="0.35">
      <c r="A93" s="1">
        <v>44584.893750000003</v>
      </c>
      <c r="B93" t="s">
        <v>5</v>
      </c>
      <c r="C93" t="s">
        <v>6</v>
      </c>
      <c r="D93" t="s">
        <v>79</v>
      </c>
      <c r="E93" t="s">
        <v>8</v>
      </c>
      <c r="F93" s="4">
        <v>176</v>
      </c>
    </row>
    <row r="94" spans="1:6" x14ac:dyDescent="0.35">
      <c r="A94" s="1">
        <v>44584.893750000003</v>
      </c>
      <c r="B94" t="s">
        <v>5</v>
      </c>
      <c r="C94" t="s">
        <v>22</v>
      </c>
      <c r="D94" t="s">
        <v>80</v>
      </c>
      <c r="E94" t="s">
        <v>8</v>
      </c>
      <c r="F94" s="4">
        <v>200</v>
      </c>
    </row>
    <row r="95" spans="1:6" x14ac:dyDescent="0.35">
      <c r="A95" s="1">
        <v>44584.893750000003</v>
      </c>
      <c r="B95" t="s">
        <v>5</v>
      </c>
      <c r="C95" t="s">
        <v>9</v>
      </c>
      <c r="D95" t="s">
        <v>17</v>
      </c>
      <c r="E95" t="s">
        <v>16</v>
      </c>
      <c r="F95" s="4">
        <v>2000</v>
      </c>
    </row>
    <row r="96" spans="1:6" x14ac:dyDescent="0.35">
      <c r="A96" s="1">
        <v>44582.598611111112</v>
      </c>
      <c r="B96" t="s">
        <v>5</v>
      </c>
      <c r="C96" t="s">
        <v>6</v>
      </c>
      <c r="D96" t="s">
        <v>68</v>
      </c>
      <c r="E96" t="s">
        <v>8</v>
      </c>
      <c r="F96" s="4">
        <v>188</v>
      </c>
    </row>
    <row r="97" spans="1:6" x14ac:dyDescent="0.35">
      <c r="A97" s="1">
        <v>44582.490972222222</v>
      </c>
      <c r="B97" t="s">
        <v>5</v>
      </c>
      <c r="C97" t="s">
        <v>6</v>
      </c>
      <c r="D97" t="s">
        <v>14</v>
      </c>
      <c r="E97" t="s">
        <v>8</v>
      </c>
      <c r="F97" s="4">
        <v>37</v>
      </c>
    </row>
    <row r="98" spans="1:6" x14ac:dyDescent="0.35">
      <c r="A98" s="1">
        <v>44582.490972222222</v>
      </c>
      <c r="B98" t="s">
        <v>5</v>
      </c>
      <c r="C98" t="s">
        <v>9</v>
      </c>
      <c r="D98" t="s">
        <v>15</v>
      </c>
      <c r="E98" t="s">
        <v>16</v>
      </c>
      <c r="F98" s="4">
        <v>200</v>
      </c>
    </row>
    <row r="99" spans="1:6" x14ac:dyDescent="0.35">
      <c r="A99" s="1">
        <v>44580.602083333331</v>
      </c>
      <c r="B99" t="s">
        <v>5</v>
      </c>
      <c r="C99" t="s">
        <v>6</v>
      </c>
      <c r="D99" t="s">
        <v>81</v>
      </c>
      <c r="E99" t="s">
        <v>8</v>
      </c>
      <c r="F99" s="4">
        <v>171</v>
      </c>
    </row>
    <row r="100" spans="1:6" x14ac:dyDescent="0.35">
      <c r="A100" s="1">
        <v>44579.870833333334</v>
      </c>
      <c r="B100" t="s">
        <v>5</v>
      </c>
      <c r="C100" t="s">
        <v>6</v>
      </c>
      <c r="D100" t="s">
        <v>11</v>
      </c>
      <c r="E100" t="s">
        <v>8</v>
      </c>
      <c r="F100" s="4">
        <v>301.14999999999998</v>
      </c>
    </row>
    <row r="101" spans="1:6" x14ac:dyDescent="0.35">
      <c r="A101" s="1">
        <v>44579.715277777781</v>
      </c>
      <c r="B101" t="s">
        <v>5</v>
      </c>
      <c r="C101" t="s">
        <v>6</v>
      </c>
      <c r="D101" t="s">
        <v>82</v>
      </c>
      <c r="E101" t="s">
        <v>8</v>
      </c>
      <c r="F101" s="4">
        <v>59</v>
      </c>
    </row>
    <row r="102" spans="1:6" x14ac:dyDescent="0.35">
      <c r="A102" s="1">
        <v>44579.57708333333</v>
      </c>
      <c r="B102" t="s">
        <v>5</v>
      </c>
      <c r="C102" t="s">
        <v>6</v>
      </c>
      <c r="D102" t="s">
        <v>68</v>
      </c>
      <c r="E102" t="s">
        <v>8</v>
      </c>
      <c r="F102" s="4">
        <v>148</v>
      </c>
    </row>
    <row r="103" spans="1:6" x14ac:dyDescent="0.35">
      <c r="A103" s="1">
        <v>44579.540972222225</v>
      </c>
      <c r="B103" t="s">
        <v>5</v>
      </c>
      <c r="C103" t="s">
        <v>9</v>
      </c>
      <c r="D103" t="s">
        <v>52</v>
      </c>
      <c r="E103" t="s">
        <v>8</v>
      </c>
      <c r="F103" s="4">
        <v>200</v>
      </c>
    </row>
    <row r="104" spans="1:6" x14ac:dyDescent="0.35">
      <c r="A104" s="1">
        <v>44579.540972222225</v>
      </c>
      <c r="B104" t="s">
        <v>5</v>
      </c>
      <c r="C104" t="s">
        <v>9</v>
      </c>
      <c r="D104" t="s">
        <v>17</v>
      </c>
      <c r="E104" t="s">
        <v>16</v>
      </c>
      <c r="F104" s="4">
        <v>1000</v>
      </c>
    </row>
    <row r="105" spans="1:6" x14ac:dyDescent="0.35">
      <c r="A105" s="1">
        <v>44578.771527777775</v>
      </c>
      <c r="B105" t="s">
        <v>5</v>
      </c>
      <c r="C105" t="s">
        <v>6</v>
      </c>
      <c r="D105" t="s">
        <v>83</v>
      </c>
      <c r="E105" t="s">
        <v>8</v>
      </c>
      <c r="F105" s="4">
        <v>100</v>
      </c>
    </row>
    <row r="106" spans="1:6" x14ac:dyDescent="0.35">
      <c r="A106" s="1">
        <v>44576.886805555558</v>
      </c>
      <c r="B106" t="s">
        <v>5</v>
      </c>
      <c r="C106" t="s">
        <v>12</v>
      </c>
      <c r="D106" t="s">
        <v>84</v>
      </c>
      <c r="E106" t="s">
        <v>8</v>
      </c>
      <c r="F106" s="4">
        <v>1365</v>
      </c>
    </row>
    <row r="107" spans="1:6" x14ac:dyDescent="0.35">
      <c r="A107" s="1">
        <v>44576.886111111111</v>
      </c>
      <c r="B107" t="s">
        <v>5</v>
      </c>
      <c r="C107" t="s">
        <v>9</v>
      </c>
      <c r="D107" t="s">
        <v>17</v>
      </c>
      <c r="E107" t="s">
        <v>16</v>
      </c>
      <c r="F107" s="4">
        <v>1500</v>
      </c>
    </row>
    <row r="108" spans="1:6" x14ac:dyDescent="0.35">
      <c r="A108" s="1">
        <v>44576.886111111111</v>
      </c>
      <c r="B108" t="s">
        <v>5</v>
      </c>
      <c r="C108" t="s">
        <v>6</v>
      </c>
      <c r="D108" t="s">
        <v>14</v>
      </c>
      <c r="E108" t="s">
        <v>8</v>
      </c>
      <c r="F108" s="4">
        <v>70</v>
      </c>
    </row>
    <row r="109" spans="1:6" x14ac:dyDescent="0.35">
      <c r="A109" s="1">
        <v>44575.706944444442</v>
      </c>
      <c r="B109" t="s">
        <v>5</v>
      </c>
      <c r="C109" t="s">
        <v>9</v>
      </c>
      <c r="D109" t="s">
        <v>85</v>
      </c>
      <c r="E109" t="s">
        <v>16</v>
      </c>
      <c r="F109" s="4">
        <v>170</v>
      </c>
    </row>
    <row r="110" spans="1:6" x14ac:dyDescent="0.35">
      <c r="A110" s="1">
        <v>44575.705555555556</v>
      </c>
      <c r="B110" t="s">
        <v>5</v>
      </c>
      <c r="C110" t="s">
        <v>9</v>
      </c>
      <c r="D110" t="s">
        <v>86</v>
      </c>
      <c r="E110" t="s">
        <v>16</v>
      </c>
      <c r="F110" s="4">
        <v>70</v>
      </c>
    </row>
    <row r="111" spans="1:6" x14ac:dyDescent="0.35">
      <c r="A111" s="1">
        <v>44575.705555555556</v>
      </c>
      <c r="B111" t="s">
        <v>5</v>
      </c>
      <c r="C111" t="s">
        <v>9</v>
      </c>
      <c r="D111" t="s">
        <v>87</v>
      </c>
      <c r="E111" t="s">
        <v>16</v>
      </c>
      <c r="F111" s="4">
        <v>340</v>
      </c>
    </row>
    <row r="112" spans="1:6" x14ac:dyDescent="0.35">
      <c r="A112" s="1">
        <v>44575.704861111109</v>
      </c>
      <c r="B112" t="s">
        <v>5</v>
      </c>
      <c r="C112" t="s">
        <v>9</v>
      </c>
      <c r="D112" t="s">
        <v>88</v>
      </c>
      <c r="E112" t="s">
        <v>16</v>
      </c>
      <c r="F112" s="4">
        <v>240</v>
      </c>
    </row>
    <row r="113" spans="1:6" x14ac:dyDescent="0.35">
      <c r="A113" s="1">
        <v>44575.70416666667</v>
      </c>
      <c r="B113" t="s">
        <v>5</v>
      </c>
      <c r="C113" t="s">
        <v>9</v>
      </c>
      <c r="D113" t="s">
        <v>89</v>
      </c>
      <c r="E113" t="s">
        <v>16</v>
      </c>
      <c r="F113" s="4">
        <v>340</v>
      </c>
    </row>
    <row r="114" spans="1:6" x14ac:dyDescent="0.35">
      <c r="A114" s="1">
        <v>44575.70416666667</v>
      </c>
      <c r="B114" t="s">
        <v>5</v>
      </c>
      <c r="C114" t="s">
        <v>6</v>
      </c>
      <c r="D114" t="s">
        <v>90</v>
      </c>
      <c r="E114" t="s">
        <v>8</v>
      </c>
      <c r="F114" s="4">
        <v>1530</v>
      </c>
    </row>
    <row r="115" spans="1:6" x14ac:dyDescent="0.35">
      <c r="A115" s="1">
        <v>44574.865277777775</v>
      </c>
      <c r="B115" t="s">
        <v>5</v>
      </c>
      <c r="C115" t="s">
        <v>6</v>
      </c>
      <c r="D115" t="s">
        <v>11</v>
      </c>
      <c r="E115" t="s">
        <v>8</v>
      </c>
      <c r="F115" s="4">
        <v>66</v>
      </c>
    </row>
    <row r="116" spans="1:6" x14ac:dyDescent="0.35">
      <c r="A116" s="1">
        <v>44574.798611111109</v>
      </c>
      <c r="B116" t="s">
        <v>5</v>
      </c>
      <c r="C116" t="s">
        <v>9</v>
      </c>
      <c r="D116" t="s">
        <v>17</v>
      </c>
      <c r="E116" t="s">
        <v>16</v>
      </c>
      <c r="F116" s="4">
        <v>1000</v>
      </c>
    </row>
    <row r="117" spans="1:6" x14ac:dyDescent="0.35">
      <c r="A117" s="1">
        <v>44574.740972222222</v>
      </c>
      <c r="B117" t="s">
        <v>5</v>
      </c>
      <c r="C117" t="s">
        <v>12</v>
      </c>
      <c r="D117" t="s">
        <v>65</v>
      </c>
      <c r="E117" t="s">
        <v>8</v>
      </c>
      <c r="F117" s="4">
        <v>43</v>
      </c>
    </row>
    <row r="118" spans="1:6" x14ac:dyDescent="0.35">
      <c r="A118" s="1">
        <v>44573.947222222225</v>
      </c>
      <c r="B118" t="s">
        <v>5</v>
      </c>
      <c r="C118" t="s">
        <v>9</v>
      </c>
      <c r="D118" t="s">
        <v>91</v>
      </c>
      <c r="E118" t="s">
        <v>8</v>
      </c>
      <c r="F118" s="4">
        <v>479</v>
      </c>
    </row>
    <row r="119" spans="1:6" x14ac:dyDescent="0.35">
      <c r="A119" s="1">
        <v>44573.559027777781</v>
      </c>
      <c r="B119" t="s">
        <v>5</v>
      </c>
      <c r="C119" t="s">
        <v>6</v>
      </c>
      <c r="D119" t="s">
        <v>18</v>
      </c>
      <c r="E119" t="s">
        <v>8</v>
      </c>
      <c r="F119" s="4">
        <v>301.75</v>
      </c>
    </row>
    <row r="120" spans="1:6" x14ac:dyDescent="0.35">
      <c r="A120" s="1">
        <v>44573.559027777781</v>
      </c>
      <c r="B120" t="s">
        <v>5</v>
      </c>
      <c r="C120" t="s">
        <v>9</v>
      </c>
      <c r="D120" t="s">
        <v>19</v>
      </c>
      <c r="E120" t="s">
        <v>16</v>
      </c>
      <c r="F120" s="4">
        <v>200</v>
      </c>
    </row>
    <row r="121" spans="1:6" x14ac:dyDescent="0.35">
      <c r="A121" s="1">
        <v>44572.588194444441</v>
      </c>
      <c r="B121" t="s">
        <v>5</v>
      </c>
      <c r="C121" t="s">
        <v>6</v>
      </c>
      <c r="D121" t="s">
        <v>92</v>
      </c>
      <c r="E121" t="s">
        <v>8</v>
      </c>
      <c r="F121" s="4">
        <v>135.5</v>
      </c>
    </row>
    <row r="122" spans="1:6" x14ac:dyDescent="0.35">
      <c r="A122" s="1">
        <v>44571.586111111108</v>
      </c>
      <c r="B122" t="s">
        <v>5</v>
      </c>
      <c r="C122" t="s">
        <v>6</v>
      </c>
      <c r="D122" t="s">
        <v>93</v>
      </c>
      <c r="E122" t="s">
        <v>8</v>
      </c>
      <c r="F122" s="4">
        <v>106</v>
      </c>
    </row>
    <row r="123" spans="1:6" x14ac:dyDescent="0.35">
      <c r="A123" s="1">
        <v>44569.573611111111</v>
      </c>
      <c r="B123" t="s">
        <v>5</v>
      </c>
      <c r="C123" t="s">
        <v>9</v>
      </c>
      <c r="D123" t="s">
        <v>89</v>
      </c>
      <c r="E123" t="s">
        <v>16</v>
      </c>
      <c r="F123" s="4">
        <v>260</v>
      </c>
    </row>
    <row r="124" spans="1:6" x14ac:dyDescent="0.35">
      <c r="A124" s="1">
        <v>44569.572916666664</v>
      </c>
      <c r="B124" t="s">
        <v>5</v>
      </c>
      <c r="C124" t="s">
        <v>6</v>
      </c>
      <c r="D124" t="s">
        <v>94</v>
      </c>
      <c r="E124" t="s">
        <v>8</v>
      </c>
      <c r="F124" s="4">
        <v>535.29999999999995</v>
      </c>
    </row>
    <row r="125" spans="1:6" x14ac:dyDescent="0.35">
      <c r="A125" s="1">
        <v>44569.568055555559</v>
      </c>
      <c r="B125" t="s">
        <v>5</v>
      </c>
      <c r="C125" t="s">
        <v>24</v>
      </c>
      <c r="D125" t="s">
        <v>95</v>
      </c>
      <c r="E125" t="s">
        <v>8</v>
      </c>
      <c r="F125" s="4">
        <v>4580</v>
      </c>
    </row>
    <row r="126" spans="1:6" x14ac:dyDescent="0.35">
      <c r="A126" s="1">
        <v>44568.57708333333</v>
      </c>
      <c r="B126" t="s">
        <v>5</v>
      </c>
      <c r="C126" t="s">
        <v>6</v>
      </c>
      <c r="D126" t="s">
        <v>96</v>
      </c>
      <c r="E126" t="s">
        <v>8</v>
      </c>
      <c r="F126" s="4">
        <v>15</v>
      </c>
    </row>
    <row r="127" spans="1:6" x14ac:dyDescent="0.35">
      <c r="A127" s="1">
        <v>44567.895833333336</v>
      </c>
      <c r="B127" t="s">
        <v>5</v>
      </c>
      <c r="C127" t="s">
        <v>9</v>
      </c>
      <c r="D127" t="s">
        <v>97</v>
      </c>
      <c r="E127" t="s">
        <v>16</v>
      </c>
      <c r="F127" s="4">
        <v>440</v>
      </c>
    </row>
    <row r="128" spans="1:6" x14ac:dyDescent="0.35">
      <c r="A128" s="1">
        <v>44567.873611111114</v>
      </c>
      <c r="B128" t="s">
        <v>5</v>
      </c>
      <c r="C128" t="s">
        <v>6</v>
      </c>
      <c r="D128" t="s">
        <v>98</v>
      </c>
      <c r="E128" t="s">
        <v>8</v>
      </c>
      <c r="F128" s="4">
        <v>20</v>
      </c>
    </row>
    <row r="129" spans="1:6" x14ac:dyDescent="0.35">
      <c r="A129" s="1">
        <v>44567.842361111114</v>
      </c>
      <c r="B129" t="s">
        <v>5</v>
      </c>
      <c r="C129" t="s">
        <v>6</v>
      </c>
      <c r="D129" t="s">
        <v>99</v>
      </c>
      <c r="E129" t="s">
        <v>8</v>
      </c>
      <c r="F129" s="4">
        <v>877.81</v>
      </c>
    </row>
    <row r="130" spans="1:6" x14ac:dyDescent="0.35">
      <c r="A130" s="1">
        <v>44567.598611111112</v>
      </c>
      <c r="B130" t="s">
        <v>5</v>
      </c>
      <c r="C130" t="s">
        <v>6</v>
      </c>
      <c r="D130" t="s">
        <v>100</v>
      </c>
      <c r="E130" t="s">
        <v>8</v>
      </c>
      <c r="F130" s="4">
        <v>10</v>
      </c>
    </row>
    <row r="131" spans="1:6" x14ac:dyDescent="0.35">
      <c r="A131" s="1">
        <v>44567.491666666669</v>
      </c>
      <c r="B131" t="s">
        <v>5</v>
      </c>
      <c r="C131" t="s">
        <v>12</v>
      </c>
      <c r="D131" t="s">
        <v>65</v>
      </c>
      <c r="E131" t="s">
        <v>8</v>
      </c>
      <c r="F131" s="4">
        <v>42</v>
      </c>
    </row>
    <row r="132" spans="1:6" x14ac:dyDescent="0.35">
      <c r="A132" s="1">
        <v>44566.849305555559</v>
      </c>
      <c r="B132" t="s">
        <v>5</v>
      </c>
      <c r="C132" t="s">
        <v>6</v>
      </c>
      <c r="D132" t="s">
        <v>101</v>
      </c>
      <c r="E132" t="s">
        <v>8</v>
      </c>
      <c r="F132" s="4">
        <v>211</v>
      </c>
    </row>
    <row r="133" spans="1:6" x14ac:dyDescent="0.35">
      <c r="A133" s="1">
        <v>44566.615277777775</v>
      </c>
      <c r="B133" t="s">
        <v>5</v>
      </c>
      <c r="C133" t="s">
        <v>9</v>
      </c>
      <c r="D133" t="s">
        <v>102</v>
      </c>
      <c r="E133" t="s">
        <v>8</v>
      </c>
      <c r="F133" s="4">
        <v>40</v>
      </c>
    </row>
    <row r="134" spans="1:6" x14ac:dyDescent="0.35">
      <c r="A134" s="1">
        <v>44566.612500000003</v>
      </c>
      <c r="B134" t="s">
        <v>5</v>
      </c>
      <c r="C134" t="s">
        <v>9</v>
      </c>
      <c r="D134" t="s">
        <v>103</v>
      </c>
      <c r="E134" t="s">
        <v>8</v>
      </c>
      <c r="F134" s="4">
        <v>30</v>
      </c>
    </row>
    <row r="135" spans="1:6" x14ac:dyDescent="0.35">
      <c r="A135" s="1">
        <v>44566.612500000003</v>
      </c>
      <c r="B135" t="s">
        <v>5</v>
      </c>
      <c r="C135" t="s">
        <v>6</v>
      </c>
      <c r="D135" t="s">
        <v>104</v>
      </c>
      <c r="E135" t="s">
        <v>8</v>
      </c>
      <c r="F135" s="4">
        <v>354</v>
      </c>
    </row>
    <row r="136" spans="1:6" x14ac:dyDescent="0.35">
      <c r="A136" s="1">
        <v>44566.61041666667</v>
      </c>
      <c r="B136" t="s">
        <v>5</v>
      </c>
      <c r="C136" t="s">
        <v>9</v>
      </c>
      <c r="D136" t="s">
        <v>105</v>
      </c>
      <c r="E136" t="s">
        <v>8</v>
      </c>
      <c r="F136" s="4">
        <v>500</v>
      </c>
    </row>
    <row r="137" spans="1:6" x14ac:dyDescent="0.35">
      <c r="A137" s="1">
        <v>44566.609027777777</v>
      </c>
      <c r="B137" t="s">
        <v>5</v>
      </c>
      <c r="C137" t="s">
        <v>9</v>
      </c>
      <c r="D137" t="s">
        <v>106</v>
      </c>
      <c r="E137" t="s">
        <v>8</v>
      </c>
      <c r="F137" s="4">
        <v>500</v>
      </c>
    </row>
    <row r="138" spans="1:6" x14ac:dyDescent="0.35">
      <c r="A138" s="1">
        <v>44566.607638888891</v>
      </c>
      <c r="B138" t="s">
        <v>5</v>
      </c>
      <c r="C138" t="s">
        <v>12</v>
      </c>
      <c r="D138" t="s">
        <v>107</v>
      </c>
      <c r="E138" t="s">
        <v>8</v>
      </c>
      <c r="F138" s="4">
        <v>60</v>
      </c>
    </row>
    <row r="139" spans="1:6" x14ac:dyDescent="0.35">
      <c r="A139" s="1">
        <v>44566.604166666664</v>
      </c>
      <c r="B139" t="s">
        <v>5</v>
      </c>
      <c r="C139" t="s">
        <v>6</v>
      </c>
      <c r="D139" t="s">
        <v>68</v>
      </c>
      <c r="E139" t="s">
        <v>8</v>
      </c>
      <c r="F139" s="4">
        <v>388</v>
      </c>
    </row>
    <row r="140" spans="1:6" x14ac:dyDescent="0.35">
      <c r="A140" s="1">
        <v>44565.924305555556</v>
      </c>
      <c r="B140" t="s">
        <v>5</v>
      </c>
      <c r="C140" t="s">
        <v>108</v>
      </c>
      <c r="D140" t="s">
        <v>109</v>
      </c>
      <c r="E140" t="s">
        <v>8</v>
      </c>
      <c r="F140" s="4">
        <v>1400</v>
      </c>
    </row>
    <row r="141" spans="1:6" x14ac:dyDescent="0.35">
      <c r="A141" s="1">
        <v>44565.923611111109</v>
      </c>
      <c r="B141" t="s">
        <v>5</v>
      </c>
      <c r="C141" t="s">
        <v>110</v>
      </c>
      <c r="D141" t="s">
        <v>110</v>
      </c>
      <c r="E141" t="s">
        <v>16</v>
      </c>
      <c r="F141" s="4">
        <v>8000</v>
      </c>
    </row>
    <row r="142" spans="1:6" x14ac:dyDescent="0.35">
      <c r="A142" s="1">
        <v>44565.578472222223</v>
      </c>
      <c r="B142" t="s">
        <v>5</v>
      </c>
      <c r="C142" t="s">
        <v>6</v>
      </c>
      <c r="D142" t="s">
        <v>68</v>
      </c>
      <c r="E142" t="s">
        <v>8</v>
      </c>
      <c r="F142" s="4">
        <v>106</v>
      </c>
    </row>
    <row r="143" spans="1:6" x14ac:dyDescent="0.35">
      <c r="A143" s="1">
        <v>44565.334027777775</v>
      </c>
      <c r="B143" t="s">
        <v>5</v>
      </c>
      <c r="C143" t="s">
        <v>9</v>
      </c>
      <c r="D143" t="s">
        <v>61</v>
      </c>
      <c r="E143" t="s">
        <v>8</v>
      </c>
      <c r="F143" s="4">
        <v>80</v>
      </c>
    </row>
    <row r="144" spans="1:6" x14ac:dyDescent="0.35">
      <c r="A144" s="1">
        <v>44565.331944444442</v>
      </c>
      <c r="B144" t="s">
        <v>5</v>
      </c>
      <c r="C144" t="s">
        <v>6</v>
      </c>
      <c r="D144" t="s">
        <v>111</v>
      </c>
      <c r="E144" t="s">
        <v>8</v>
      </c>
      <c r="F144" s="4">
        <v>107</v>
      </c>
    </row>
    <row r="145" spans="1:6" x14ac:dyDescent="0.35">
      <c r="A145" s="1">
        <v>44564.927083333336</v>
      </c>
      <c r="B145" t="s">
        <v>5</v>
      </c>
      <c r="C145" t="s">
        <v>6</v>
      </c>
      <c r="D145" t="s">
        <v>112</v>
      </c>
      <c r="E145" t="s">
        <v>8</v>
      </c>
      <c r="F145" s="4">
        <v>10</v>
      </c>
    </row>
    <row r="146" spans="1:6" x14ac:dyDescent="0.35">
      <c r="A146" s="1">
        <v>44564.912499999999</v>
      </c>
      <c r="B146" t="s">
        <v>5</v>
      </c>
      <c r="C146" t="s">
        <v>9</v>
      </c>
      <c r="D146" t="s">
        <v>113</v>
      </c>
      <c r="E146" t="s">
        <v>16</v>
      </c>
      <c r="F146" s="4">
        <v>201</v>
      </c>
    </row>
    <row r="147" spans="1:6" x14ac:dyDescent="0.35">
      <c r="A147" s="1">
        <v>44564.883333333331</v>
      </c>
      <c r="B147" t="s">
        <v>5</v>
      </c>
      <c r="C147" t="s">
        <v>9</v>
      </c>
      <c r="D147" t="s">
        <v>114</v>
      </c>
      <c r="E147" t="s">
        <v>16</v>
      </c>
      <c r="F147" s="4">
        <v>5</v>
      </c>
    </row>
    <row r="148" spans="1:6" x14ac:dyDescent="0.35">
      <c r="A148" s="1">
        <v>44564.882638888892</v>
      </c>
      <c r="B148" t="s">
        <v>5</v>
      </c>
      <c r="C148" t="s">
        <v>9</v>
      </c>
      <c r="D148" t="s">
        <v>115</v>
      </c>
      <c r="E148" t="s">
        <v>16</v>
      </c>
      <c r="F148" s="4">
        <v>140</v>
      </c>
    </row>
    <row r="149" spans="1:6" x14ac:dyDescent="0.35">
      <c r="A149" s="1">
        <v>44564.604861111111</v>
      </c>
      <c r="B149" t="s">
        <v>5</v>
      </c>
      <c r="C149" t="s">
        <v>6</v>
      </c>
      <c r="D149" t="s">
        <v>116</v>
      </c>
      <c r="E149" t="s">
        <v>8</v>
      </c>
      <c r="F149" s="4">
        <v>300</v>
      </c>
    </row>
    <row r="150" spans="1:6" x14ac:dyDescent="0.35">
      <c r="A150" s="1">
        <v>44564.604166666664</v>
      </c>
      <c r="B150" t="s">
        <v>5</v>
      </c>
      <c r="C150" t="s">
        <v>9</v>
      </c>
      <c r="D150" t="s">
        <v>117</v>
      </c>
      <c r="E150" t="s">
        <v>16</v>
      </c>
      <c r="F150" s="4">
        <v>300</v>
      </c>
    </row>
    <row r="151" spans="1:6" x14ac:dyDescent="0.35">
      <c r="A151" s="1">
        <v>44563.856249999997</v>
      </c>
      <c r="B151" t="s">
        <v>5</v>
      </c>
      <c r="C151" t="s">
        <v>9</v>
      </c>
      <c r="D151" t="s">
        <v>118</v>
      </c>
      <c r="E151" t="s">
        <v>8</v>
      </c>
      <c r="F151" s="4">
        <v>8</v>
      </c>
    </row>
    <row r="152" spans="1:6" x14ac:dyDescent="0.35">
      <c r="A152" s="1">
        <v>44563.855555555558</v>
      </c>
      <c r="B152" t="s">
        <v>5</v>
      </c>
      <c r="C152" t="s">
        <v>6</v>
      </c>
      <c r="D152" t="s">
        <v>119</v>
      </c>
      <c r="E152" t="s">
        <v>8</v>
      </c>
      <c r="F152" s="4">
        <v>200</v>
      </c>
    </row>
    <row r="153" spans="1:6" x14ac:dyDescent="0.35">
      <c r="A153" s="1">
        <v>44563.594444444447</v>
      </c>
      <c r="B153" t="s">
        <v>5</v>
      </c>
      <c r="C153" t="s">
        <v>12</v>
      </c>
      <c r="D153" t="s">
        <v>75</v>
      </c>
      <c r="E153" t="s">
        <v>8</v>
      </c>
      <c r="F153" s="4">
        <v>725</v>
      </c>
    </row>
    <row r="154" spans="1:6" x14ac:dyDescent="0.35">
      <c r="A154" s="1">
        <v>44562.906944444447</v>
      </c>
      <c r="B154" t="s">
        <v>5</v>
      </c>
      <c r="C154" t="s">
        <v>6</v>
      </c>
      <c r="D154" t="s">
        <v>14</v>
      </c>
      <c r="E154" t="s">
        <v>8</v>
      </c>
      <c r="F154" s="4">
        <v>85</v>
      </c>
    </row>
    <row r="155" spans="1:6" x14ac:dyDescent="0.35">
      <c r="A155" s="1">
        <v>44562.90625</v>
      </c>
      <c r="B155" t="s">
        <v>5</v>
      </c>
      <c r="C155" t="s">
        <v>120</v>
      </c>
      <c r="D155" t="s">
        <v>17</v>
      </c>
      <c r="E155" t="s">
        <v>16</v>
      </c>
      <c r="F155" s="4">
        <v>1000</v>
      </c>
    </row>
    <row r="156" spans="1:6" x14ac:dyDescent="0.35">
      <c r="A156" s="1">
        <v>44560.590277777781</v>
      </c>
      <c r="B156" t="s">
        <v>5</v>
      </c>
      <c r="C156" t="s">
        <v>6</v>
      </c>
      <c r="D156" t="s">
        <v>121</v>
      </c>
      <c r="E156" t="s">
        <v>8</v>
      </c>
      <c r="F156" s="4">
        <v>20</v>
      </c>
    </row>
    <row r="157" spans="1:6" x14ac:dyDescent="0.35">
      <c r="A157" s="1">
        <v>44560.580555555556</v>
      </c>
      <c r="B157" t="s">
        <v>5</v>
      </c>
      <c r="C157" t="s">
        <v>12</v>
      </c>
      <c r="D157" t="s">
        <v>122</v>
      </c>
      <c r="E157" t="s">
        <v>8</v>
      </c>
      <c r="F157" s="4">
        <v>43</v>
      </c>
    </row>
    <row r="158" spans="1:6" x14ac:dyDescent="0.35">
      <c r="A158" s="1">
        <v>44560.566666666666</v>
      </c>
      <c r="B158" t="s">
        <v>5</v>
      </c>
      <c r="C158" t="s">
        <v>9</v>
      </c>
      <c r="D158" t="s">
        <v>19</v>
      </c>
      <c r="E158" t="s">
        <v>16</v>
      </c>
      <c r="F158" s="4">
        <v>30</v>
      </c>
    </row>
    <row r="159" spans="1:6" x14ac:dyDescent="0.35">
      <c r="A159" s="1">
        <v>44560.529861111114</v>
      </c>
      <c r="B159" t="s">
        <v>5</v>
      </c>
      <c r="C159" t="s">
        <v>6</v>
      </c>
      <c r="D159" t="s">
        <v>123</v>
      </c>
      <c r="E159" t="s">
        <v>8</v>
      </c>
      <c r="F159" s="4">
        <v>25</v>
      </c>
    </row>
    <row r="160" spans="1:6" x14ac:dyDescent="0.35">
      <c r="A160" s="1">
        <v>44560.526388888888</v>
      </c>
      <c r="B160" t="s">
        <v>5</v>
      </c>
      <c r="C160" t="s">
        <v>12</v>
      </c>
      <c r="D160" t="s">
        <v>124</v>
      </c>
      <c r="E160" t="s">
        <v>8</v>
      </c>
      <c r="F160" s="4">
        <v>199</v>
      </c>
    </row>
    <row r="161" spans="1:6" x14ac:dyDescent="0.35">
      <c r="A161" s="1">
        <v>44560.525694444441</v>
      </c>
      <c r="B161" t="s">
        <v>5</v>
      </c>
      <c r="C161" t="s">
        <v>9</v>
      </c>
      <c r="D161" t="s">
        <v>125</v>
      </c>
      <c r="E161" t="s">
        <v>16</v>
      </c>
      <c r="F161" s="4">
        <v>250</v>
      </c>
    </row>
    <row r="162" spans="1:6" x14ac:dyDescent="0.35">
      <c r="A162" s="1">
        <v>44560.489583333336</v>
      </c>
      <c r="B162" t="s">
        <v>5</v>
      </c>
      <c r="C162" t="s">
        <v>6</v>
      </c>
      <c r="D162" t="s">
        <v>126</v>
      </c>
      <c r="E162" t="s">
        <v>8</v>
      </c>
      <c r="F162" s="4">
        <v>20</v>
      </c>
    </row>
    <row r="163" spans="1:6" x14ac:dyDescent="0.35">
      <c r="A163" s="1">
        <v>44560.489583333336</v>
      </c>
      <c r="B163" t="s">
        <v>5</v>
      </c>
      <c r="C163" t="s">
        <v>9</v>
      </c>
      <c r="D163" t="s">
        <v>117</v>
      </c>
      <c r="E163" t="s">
        <v>16</v>
      </c>
      <c r="F163" s="4">
        <v>20</v>
      </c>
    </row>
    <row r="164" spans="1:6" x14ac:dyDescent="0.35">
      <c r="A164" s="1">
        <v>44560.489583333336</v>
      </c>
      <c r="B164" t="s">
        <v>5</v>
      </c>
      <c r="C164" t="s">
        <v>12</v>
      </c>
      <c r="D164" t="s">
        <v>127</v>
      </c>
      <c r="E164" t="s">
        <v>8</v>
      </c>
      <c r="F164" s="4">
        <v>286</v>
      </c>
    </row>
    <row r="165" spans="1:6" x14ac:dyDescent="0.35">
      <c r="A165" s="1">
        <v>44560.488888888889</v>
      </c>
      <c r="B165" t="s">
        <v>5</v>
      </c>
      <c r="C165" t="s">
        <v>9</v>
      </c>
      <c r="D165" t="s">
        <v>125</v>
      </c>
      <c r="E165" t="s">
        <v>16</v>
      </c>
      <c r="F165" s="4">
        <v>250</v>
      </c>
    </row>
    <row r="166" spans="1:6" x14ac:dyDescent="0.35">
      <c r="A166" s="1">
        <v>44558.570833333331</v>
      </c>
      <c r="B166" t="s">
        <v>5</v>
      </c>
      <c r="C166" t="s">
        <v>6</v>
      </c>
      <c r="D166" t="s">
        <v>128</v>
      </c>
      <c r="E166" t="s">
        <v>8</v>
      </c>
      <c r="F166" s="4">
        <v>14</v>
      </c>
    </row>
    <row r="167" spans="1:6" x14ac:dyDescent="0.35">
      <c r="A167" s="1">
        <v>44557.572916666664</v>
      </c>
      <c r="B167" t="s">
        <v>5</v>
      </c>
      <c r="C167" t="s">
        <v>6</v>
      </c>
      <c r="D167" t="s">
        <v>129</v>
      </c>
      <c r="E167" t="s">
        <v>8</v>
      </c>
      <c r="F167" s="4">
        <v>115</v>
      </c>
    </row>
    <row r="168" spans="1:6" x14ac:dyDescent="0.35">
      <c r="A168" s="1">
        <v>44557.572222222225</v>
      </c>
      <c r="B168" t="s">
        <v>5</v>
      </c>
      <c r="C168" t="s">
        <v>9</v>
      </c>
      <c r="D168" t="s">
        <v>15</v>
      </c>
      <c r="E168" t="s">
        <v>16</v>
      </c>
      <c r="F168" s="4">
        <v>80</v>
      </c>
    </row>
    <row r="169" spans="1:6" x14ac:dyDescent="0.35">
      <c r="A169" s="1">
        <v>44557.522916666669</v>
      </c>
      <c r="B169" t="s">
        <v>5</v>
      </c>
      <c r="C169" t="s">
        <v>9</v>
      </c>
      <c r="D169" t="s">
        <v>130</v>
      </c>
      <c r="E169" t="s">
        <v>16</v>
      </c>
      <c r="F169" s="4">
        <v>40</v>
      </c>
    </row>
    <row r="170" spans="1:6" x14ac:dyDescent="0.35">
      <c r="A170" s="1">
        <v>44557.522916666669</v>
      </c>
      <c r="B170" t="s">
        <v>5</v>
      </c>
      <c r="C170" t="s">
        <v>6</v>
      </c>
      <c r="D170" t="s">
        <v>131</v>
      </c>
      <c r="E170" t="s">
        <v>8</v>
      </c>
      <c r="F170" s="4">
        <v>50</v>
      </c>
    </row>
    <row r="171" spans="1:6" x14ac:dyDescent="0.35">
      <c r="A171" s="1">
        <v>44555.953472222223</v>
      </c>
      <c r="B171" t="s">
        <v>5</v>
      </c>
      <c r="C171" t="s">
        <v>6</v>
      </c>
      <c r="D171" t="s">
        <v>119</v>
      </c>
      <c r="E171" t="s">
        <v>8</v>
      </c>
      <c r="F171" s="4">
        <v>504</v>
      </c>
    </row>
    <row r="172" spans="1:6" x14ac:dyDescent="0.35">
      <c r="A172" s="1">
        <v>44555.865277777775</v>
      </c>
      <c r="B172" t="s">
        <v>5</v>
      </c>
      <c r="C172" t="s">
        <v>12</v>
      </c>
      <c r="D172" t="s">
        <v>132</v>
      </c>
      <c r="E172" t="s">
        <v>8</v>
      </c>
      <c r="F172" s="4">
        <v>306</v>
      </c>
    </row>
    <row r="173" spans="1:6" x14ac:dyDescent="0.35">
      <c r="A173" s="1">
        <v>44555.826388888891</v>
      </c>
      <c r="B173" t="s">
        <v>5</v>
      </c>
      <c r="C173" t="s">
        <v>133</v>
      </c>
      <c r="D173" t="s">
        <v>134</v>
      </c>
      <c r="E173" t="s">
        <v>8</v>
      </c>
      <c r="F173" s="4">
        <v>400</v>
      </c>
    </row>
    <row r="174" spans="1:6" x14ac:dyDescent="0.35">
      <c r="A174" s="1">
        <v>44555.709027777775</v>
      </c>
      <c r="B174" t="s">
        <v>5</v>
      </c>
      <c r="C174" t="s">
        <v>6</v>
      </c>
      <c r="D174" t="s">
        <v>135</v>
      </c>
      <c r="E174" t="s">
        <v>8</v>
      </c>
      <c r="F174" s="4">
        <v>30</v>
      </c>
    </row>
    <row r="175" spans="1:6" x14ac:dyDescent="0.35">
      <c r="A175" s="1">
        <v>44555.649305555555</v>
      </c>
      <c r="B175" t="s">
        <v>5</v>
      </c>
      <c r="C175" t="s">
        <v>6</v>
      </c>
      <c r="D175" t="s">
        <v>126</v>
      </c>
      <c r="E175" t="s">
        <v>8</v>
      </c>
      <c r="F175" s="4">
        <v>30</v>
      </c>
    </row>
    <row r="176" spans="1:6" x14ac:dyDescent="0.35">
      <c r="A176" s="1">
        <v>44555.563888888886</v>
      </c>
      <c r="B176" t="s">
        <v>5</v>
      </c>
      <c r="C176" t="s">
        <v>6</v>
      </c>
      <c r="D176" t="s">
        <v>136</v>
      </c>
      <c r="E176" t="s">
        <v>8</v>
      </c>
      <c r="F176" s="4">
        <v>40</v>
      </c>
    </row>
    <row r="177" spans="1:6" x14ac:dyDescent="0.35">
      <c r="A177" s="1">
        <v>44554.90902777778</v>
      </c>
      <c r="B177" t="s">
        <v>5</v>
      </c>
      <c r="C177" t="s">
        <v>22</v>
      </c>
      <c r="D177" t="s">
        <v>137</v>
      </c>
      <c r="E177" t="s">
        <v>8</v>
      </c>
      <c r="F177" s="4">
        <v>150</v>
      </c>
    </row>
    <row r="178" spans="1:6" x14ac:dyDescent="0.35">
      <c r="A178" s="1">
        <v>44554.607638888891</v>
      </c>
      <c r="B178" t="s">
        <v>5</v>
      </c>
      <c r="C178" t="s">
        <v>6</v>
      </c>
      <c r="D178" t="s">
        <v>68</v>
      </c>
      <c r="E178" t="s">
        <v>8</v>
      </c>
      <c r="F178" s="4">
        <v>262</v>
      </c>
    </row>
    <row r="179" spans="1:6" x14ac:dyDescent="0.35">
      <c r="A179" s="1">
        <v>44553.688194444447</v>
      </c>
      <c r="B179" t="s">
        <v>5</v>
      </c>
      <c r="C179" t="s">
        <v>6</v>
      </c>
      <c r="D179" t="s">
        <v>138</v>
      </c>
      <c r="E179" t="s">
        <v>8</v>
      </c>
      <c r="F179" s="4">
        <v>15</v>
      </c>
    </row>
    <row r="180" spans="1:6" x14ac:dyDescent="0.35">
      <c r="A180" s="1">
        <v>44553.57708333333</v>
      </c>
      <c r="B180" t="s">
        <v>5</v>
      </c>
      <c r="C180" t="s">
        <v>6</v>
      </c>
      <c r="D180" t="s">
        <v>139</v>
      </c>
      <c r="E180" t="s">
        <v>8</v>
      </c>
      <c r="F180" s="4">
        <v>32</v>
      </c>
    </row>
    <row r="181" spans="1:6" x14ac:dyDescent="0.35">
      <c r="A181" s="1">
        <v>44551.870138888888</v>
      </c>
      <c r="B181" t="s">
        <v>5</v>
      </c>
      <c r="C181" t="s">
        <v>6</v>
      </c>
      <c r="D181" t="s">
        <v>119</v>
      </c>
      <c r="E181" t="s">
        <v>8</v>
      </c>
      <c r="F181" s="4">
        <v>239</v>
      </c>
    </row>
    <row r="182" spans="1:6" x14ac:dyDescent="0.35">
      <c r="A182" s="1">
        <v>44551.584722222222</v>
      </c>
      <c r="B182" t="s">
        <v>5</v>
      </c>
      <c r="C182" t="s">
        <v>6</v>
      </c>
      <c r="D182" t="s">
        <v>140</v>
      </c>
      <c r="E182" t="s">
        <v>8</v>
      </c>
      <c r="F182" s="4">
        <v>25</v>
      </c>
    </row>
    <row r="183" spans="1:6" x14ac:dyDescent="0.35">
      <c r="A183" s="1">
        <v>44551.488194444442</v>
      </c>
      <c r="B183" t="s">
        <v>5</v>
      </c>
      <c r="C183" t="s">
        <v>6</v>
      </c>
      <c r="D183" t="s">
        <v>141</v>
      </c>
      <c r="E183" t="s">
        <v>8</v>
      </c>
      <c r="F183" s="4">
        <v>18</v>
      </c>
    </row>
    <row r="184" spans="1:6" x14ac:dyDescent="0.35">
      <c r="A184" s="1">
        <v>44550.807638888888</v>
      </c>
      <c r="B184" t="s">
        <v>5</v>
      </c>
      <c r="C184" t="s">
        <v>6</v>
      </c>
      <c r="D184" t="s">
        <v>136</v>
      </c>
      <c r="E184" t="s">
        <v>8</v>
      </c>
      <c r="F184" s="4">
        <v>80</v>
      </c>
    </row>
    <row r="185" spans="1:6" x14ac:dyDescent="0.35">
      <c r="A185" s="1">
        <v>44550.806944444441</v>
      </c>
      <c r="B185" t="s">
        <v>5</v>
      </c>
      <c r="C185" t="s">
        <v>12</v>
      </c>
      <c r="D185" t="s">
        <v>142</v>
      </c>
      <c r="E185" t="s">
        <v>8</v>
      </c>
      <c r="F185" s="4">
        <v>80</v>
      </c>
    </row>
    <row r="186" spans="1:6" x14ac:dyDescent="0.35">
      <c r="A186" s="1">
        <v>44550.704861111109</v>
      </c>
      <c r="B186" t="s">
        <v>5</v>
      </c>
      <c r="C186" t="s">
        <v>6</v>
      </c>
      <c r="D186" t="s">
        <v>14</v>
      </c>
      <c r="E186" t="s">
        <v>8</v>
      </c>
      <c r="F186" s="4">
        <v>20</v>
      </c>
    </row>
    <row r="187" spans="1:6" x14ac:dyDescent="0.35">
      <c r="A187" s="1">
        <v>44550.645138888889</v>
      </c>
      <c r="B187" t="s">
        <v>5</v>
      </c>
      <c r="C187" t="s">
        <v>6</v>
      </c>
      <c r="D187" t="s">
        <v>126</v>
      </c>
      <c r="E187" t="s">
        <v>8</v>
      </c>
      <c r="F187" s="4">
        <v>20</v>
      </c>
    </row>
    <row r="188" spans="1:6" x14ac:dyDescent="0.35">
      <c r="A188" s="1">
        <v>44550.565972222219</v>
      </c>
      <c r="B188" t="s">
        <v>5</v>
      </c>
      <c r="C188" t="s">
        <v>6</v>
      </c>
      <c r="D188" t="s">
        <v>129</v>
      </c>
      <c r="E188" t="s">
        <v>8</v>
      </c>
      <c r="F188" s="4">
        <v>85</v>
      </c>
    </row>
    <row r="189" spans="1:6" x14ac:dyDescent="0.35">
      <c r="A189" s="1">
        <v>44550.406944444447</v>
      </c>
      <c r="B189" t="s">
        <v>5</v>
      </c>
      <c r="C189" t="s">
        <v>6</v>
      </c>
      <c r="D189" t="s">
        <v>136</v>
      </c>
      <c r="E189" t="s">
        <v>8</v>
      </c>
      <c r="F189" s="4">
        <v>40</v>
      </c>
    </row>
    <row r="190" spans="1:6" x14ac:dyDescent="0.35">
      <c r="A190" s="1">
        <v>44549.660416666666</v>
      </c>
      <c r="B190" t="s">
        <v>5</v>
      </c>
      <c r="C190" t="s">
        <v>9</v>
      </c>
      <c r="D190" t="s">
        <v>143</v>
      </c>
      <c r="E190" t="s">
        <v>8</v>
      </c>
      <c r="F190" s="4">
        <v>100</v>
      </c>
    </row>
    <row r="191" spans="1:6" x14ac:dyDescent="0.35">
      <c r="A191" s="1">
        <v>44548.875694444447</v>
      </c>
      <c r="B191" t="s">
        <v>5</v>
      </c>
      <c r="C191" t="s">
        <v>9</v>
      </c>
      <c r="D191" t="s">
        <v>52</v>
      </c>
      <c r="E191" t="s">
        <v>8</v>
      </c>
      <c r="F191" s="4">
        <v>100</v>
      </c>
    </row>
    <row r="192" spans="1:6" x14ac:dyDescent="0.35">
      <c r="A192" s="1">
        <v>44548.875694444447</v>
      </c>
      <c r="B192" t="s">
        <v>5</v>
      </c>
      <c r="C192" t="s">
        <v>9</v>
      </c>
      <c r="D192" t="s">
        <v>144</v>
      </c>
      <c r="E192" t="s">
        <v>8</v>
      </c>
      <c r="F192" s="4">
        <v>200</v>
      </c>
    </row>
    <row r="193" spans="1:6" x14ac:dyDescent="0.35">
      <c r="A193" s="1">
        <v>44548.875</v>
      </c>
      <c r="B193" t="s">
        <v>5</v>
      </c>
      <c r="C193" t="s">
        <v>6</v>
      </c>
      <c r="D193" t="s">
        <v>145</v>
      </c>
      <c r="E193" t="s">
        <v>8</v>
      </c>
      <c r="F193" s="4">
        <v>113</v>
      </c>
    </row>
    <row r="194" spans="1:6" x14ac:dyDescent="0.35">
      <c r="A194" s="1">
        <v>44548.875</v>
      </c>
      <c r="B194" t="s">
        <v>5</v>
      </c>
      <c r="C194" t="s">
        <v>120</v>
      </c>
      <c r="D194" t="s">
        <v>17</v>
      </c>
      <c r="E194" t="s">
        <v>16</v>
      </c>
      <c r="F194" s="4">
        <v>1000</v>
      </c>
    </row>
    <row r="195" spans="1:6" x14ac:dyDescent="0.35">
      <c r="A195" s="1">
        <v>44548.827777777777</v>
      </c>
      <c r="B195" t="s">
        <v>5</v>
      </c>
      <c r="C195" t="s">
        <v>9</v>
      </c>
      <c r="D195" t="s">
        <v>146</v>
      </c>
      <c r="E195" t="s">
        <v>16</v>
      </c>
      <c r="F195" s="4">
        <v>400</v>
      </c>
    </row>
    <row r="196" spans="1:6" x14ac:dyDescent="0.35">
      <c r="A196" s="1">
        <v>44548.82708333333</v>
      </c>
      <c r="B196" t="s">
        <v>5</v>
      </c>
      <c r="C196" t="s">
        <v>22</v>
      </c>
      <c r="D196" t="s">
        <v>147</v>
      </c>
      <c r="E196" t="s">
        <v>8</v>
      </c>
      <c r="F196" s="4">
        <v>363.72</v>
      </c>
    </row>
    <row r="197" spans="1:6" x14ac:dyDescent="0.35">
      <c r="A197" s="1">
        <v>44548.59652777778</v>
      </c>
      <c r="B197" t="s">
        <v>5</v>
      </c>
      <c r="C197" t="s">
        <v>6</v>
      </c>
      <c r="D197" t="s">
        <v>20</v>
      </c>
      <c r="E197" t="s">
        <v>8</v>
      </c>
      <c r="F197" s="4">
        <v>160</v>
      </c>
    </row>
    <row r="198" spans="1:6" x14ac:dyDescent="0.35">
      <c r="A198" s="1">
        <v>44547.787499999999</v>
      </c>
      <c r="B198" t="s">
        <v>5</v>
      </c>
      <c r="C198" t="s">
        <v>6</v>
      </c>
      <c r="D198" t="s">
        <v>136</v>
      </c>
      <c r="E198" t="s">
        <v>8</v>
      </c>
      <c r="F198" s="4">
        <v>70</v>
      </c>
    </row>
    <row r="199" spans="1:6" x14ac:dyDescent="0.35">
      <c r="A199" s="1">
        <v>44547.614583333336</v>
      </c>
      <c r="B199" t="s">
        <v>5</v>
      </c>
      <c r="C199" t="s">
        <v>6</v>
      </c>
      <c r="D199" t="s">
        <v>68</v>
      </c>
      <c r="E199" t="s">
        <v>8</v>
      </c>
      <c r="F199" s="4">
        <v>110</v>
      </c>
    </row>
    <row r="200" spans="1:6" x14ac:dyDescent="0.35">
      <c r="A200" s="1">
        <v>44547.357638888891</v>
      </c>
      <c r="B200" t="s">
        <v>5</v>
      </c>
      <c r="C200" t="s">
        <v>9</v>
      </c>
      <c r="D200" t="s">
        <v>148</v>
      </c>
      <c r="E200" t="s">
        <v>8</v>
      </c>
      <c r="F200" s="4">
        <v>50</v>
      </c>
    </row>
    <row r="201" spans="1:6" x14ac:dyDescent="0.35">
      <c r="A201" s="1">
        <v>44546.780555555553</v>
      </c>
      <c r="B201" t="s">
        <v>5</v>
      </c>
      <c r="C201" t="s">
        <v>6</v>
      </c>
      <c r="D201" t="s">
        <v>149</v>
      </c>
      <c r="E201" t="s">
        <v>8</v>
      </c>
      <c r="F201" s="4">
        <v>30</v>
      </c>
    </row>
    <row r="202" spans="1:6" x14ac:dyDescent="0.35">
      <c r="A202" s="1">
        <v>44546.774305555555</v>
      </c>
      <c r="B202" t="s">
        <v>5</v>
      </c>
      <c r="C202" t="s">
        <v>6</v>
      </c>
      <c r="D202" t="s">
        <v>150</v>
      </c>
      <c r="E202" t="s">
        <v>8</v>
      </c>
      <c r="F202" s="4">
        <v>20</v>
      </c>
    </row>
    <row r="203" spans="1:6" x14ac:dyDescent="0.35">
      <c r="A203" s="1">
        <v>44546.568055555559</v>
      </c>
      <c r="B203" t="s">
        <v>5</v>
      </c>
      <c r="C203" t="s">
        <v>6</v>
      </c>
      <c r="D203" t="s">
        <v>20</v>
      </c>
      <c r="E203" t="s">
        <v>8</v>
      </c>
      <c r="F203" s="4">
        <v>30</v>
      </c>
    </row>
    <row r="204" spans="1:6" x14ac:dyDescent="0.35">
      <c r="A204" s="1">
        <v>44546.445833333331</v>
      </c>
      <c r="B204" t="s">
        <v>5</v>
      </c>
      <c r="C204" t="s">
        <v>6</v>
      </c>
      <c r="D204" t="s">
        <v>136</v>
      </c>
      <c r="E204" t="s">
        <v>8</v>
      </c>
      <c r="F204" s="4">
        <v>110</v>
      </c>
    </row>
    <row r="205" spans="1:6" x14ac:dyDescent="0.35">
      <c r="A205" s="1">
        <v>44544.995833333334</v>
      </c>
      <c r="B205" t="s">
        <v>5</v>
      </c>
      <c r="C205" t="s">
        <v>6</v>
      </c>
      <c r="D205" t="s">
        <v>20</v>
      </c>
      <c r="E205" t="s">
        <v>8</v>
      </c>
      <c r="F205" s="4">
        <v>40</v>
      </c>
    </row>
    <row r="206" spans="1:6" x14ac:dyDescent="0.35">
      <c r="A206" s="1">
        <v>44544.88958333333</v>
      </c>
      <c r="B206" t="s">
        <v>5</v>
      </c>
      <c r="C206" t="s">
        <v>6</v>
      </c>
      <c r="D206" t="s">
        <v>14</v>
      </c>
      <c r="E206" t="s">
        <v>8</v>
      </c>
      <c r="F206" s="4">
        <v>75</v>
      </c>
    </row>
    <row r="207" spans="1:6" x14ac:dyDescent="0.35">
      <c r="A207" s="1">
        <v>44544.877083333333</v>
      </c>
      <c r="B207" t="s">
        <v>5</v>
      </c>
      <c r="C207" t="s">
        <v>6</v>
      </c>
      <c r="D207" t="s">
        <v>150</v>
      </c>
      <c r="E207" t="s">
        <v>8</v>
      </c>
      <c r="F207" s="4">
        <v>80</v>
      </c>
    </row>
    <row r="208" spans="1:6" x14ac:dyDescent="0.35">
      <c r="A208" s="1">
        <v>44544.637499999997</v>
      </c>
      <c r="B208" t="s">
        <v>5</v>
      </c>
      <c r="C208" t="s">
        <v>6</v>
      </c>
      <c r="D208" t="s">
        <v>14</v>
      </c>
      <c r="E208" t="s">
        <v>8</v>
      </c>
      <c r="F208" s="4">
        <v>74</v>
      </c>
    </row>
    <row r="209" spans="1:6" x14ac:dyDescent="0.35">
      <c r="A209" s="1">
        <v>44544.439583333333</v>
      </c>
      <c r="B209" t="s">
        <v>5</v>
      </c>
      <c r="C209" t="s">
        <v>6</v>
      </c>
      <c r="D209" t="s">
        <v>136</v>
      </c>
      <c r="E209" t="s">
        <v>8</v>
      </c>
      <c r="F209" s="4">
        <v>65</v>
      </c>
    </row>
    <row r="210" spans="1:6" x14ac:dyDescent="0.35">
      <c r="A210" s="1">
        <v>44542.907638888886</v>
      </c>
      <c r="B210" t="s">
        <v>5</v>
      </c>
      <c r="C210" t="s">
        <v>6</v>
      </c>
      <c r="D210" t="s">
        <v>136</v>
      </c>
      <c r="E210" t="s">
        <v>8</v>
      </c>
      <c r="F210" s="4">
        <v>25</v>
      </c>
    </row>
    <row r="211" spans="1:6" x14ac:dyDescent="0.35">
      <c r="A211" s="1">
        <v>44541.390277777777</v>
      </c>
      <c r="B211" t="s">
        <v>5</v>
      </c>
      <c r="C211" t="s">
        <v>120</v>
      </c>
      <c r="D211" t="s">
        <v>17</v>
      </c>
      <c r="E211" t="s">
        <v>16</v>
      </c>
      <c r="F211" s="4">
        <v>1000</v>
      </c>
    </row>
    <row r="212" spans="1:6" x14ac:dyDescent="0.35">
      <c r="A212" s="1">
        <v>44541.347222222219</v>
      </c>
      <c r="B212" t="s">
        <v>5</v>
      </c>
      <c r="C212" t="s">
        <v>9</v>
      </c>
      <c r="D212" t="s">
        <v>151</v>
      </c>
      <c r="E212" t="s">
        <v>16</v>
      </c>
      <c r="F212" s="4">
        <v>240</v>
      </c>
    </row>
    <row r="213" spans="1:6" x14ac:dyDescent="0.35">
      <c r="A213" s="1">
        <v>44540.901388888888</v>
      </c>
      <c r="B213" t="s">
        <v>5</v>
      </c>
      <c r="C213" t="s">
        <v>6</v>
      </c>
      <c r="D213" t="s">
        <v>152</v>
      </c>
      <c r="E213" t="s">
        <v>8</v>
      </c>
      <c r="F213" s="4">
        <v>241</v>
      </c>
    </row>
    <row r="214" spans="1:6" x14ac:dyDescent="0.35">
      <c r="A214" s="1">
        <v>44540.871527777781</v>
      </c>
      <c r="B214" t="s">
        <v>5</v>
      </c>
      <c r="C214" t="s">
        <v>6</v>
      </c>
      <c r="D214" t="s">
        <v>153</v>
      </c>
      <c r="E214" t="s">
        <v>8</v>
      </c>
      <c r="F214" s="4">
        <v>195</v>
      </c>
    </row>
    <row r="215" spans="1:6" x14ac:dyDescent="0.35">
      <c r="A215" s="1">
        <v>44539.835416666669</v>
      </c>
      <c r="B215" t="s">
        <v>5</v>
      </c>
      <c r="C215" t="s">
        <v>6</v>
      </c>
      <c r="D215" t="s">
        <v>154</v>
      </c>
      <c r="E215" t="s">
        <v>8</v>
      </c>
      <c r="F215" s="4">
        <v>40</v>
      </c>
    </row>
    <row r="216" spans="1:6" x14ac:dyDescent="0.35">
      <c r="A216" s="1">
        <v>44539.584027777775</v>
      </c>
      <c r="B216" t="s">
        <v>5</v>
      </c>
      <c r="C216" t="s">
        <v>6</v>
      </c>
      <c r="D216" t="s">
        <v>68</v>
      </c>
      <c r="E216" t="s">
        <v>8</v>
      </c>
      <c r="F216" s="4">
        <v>280</v>
      </c>
    </row>
    <row r="217" spans="1:6" x14ac:dyDescent="0.35">
      <c r="A217" s="1">
        <v>44539.413888888892</v>
      </c>
      <c r="B217" t="s">
        <v>5</v>
      </c>
      <c r="C217" t="s">
        <v>6</v>
      </c>
      <c r="D217" t="s">
        <v>136</v>
      </c>
      <c r="E217" t="s">
        <v>8</v>
      </c>
      <c r="F217" s="4">
        <v>25</v>
      </c>
    </row>
    <row r="218" spans="1:6" x14ac:dyDescent="0.35">
      <c r="A218" s="1">
        <v>44539.365972222222</v>
      </c>
      <c r="B218" t="s">
        <v>5</v>
      </c>
      <c r="C218" t="s">
        <v>6</v>
      </c>
      <c r="D218" t="s">
        <v>155</v>
      </c>
      <c r="E218" t="s">
        <v>8</v>
      </c>
      <c r="F218" s="4">
        <v>110</v>
      </c>
    </row>
    <row r="219" spans="1:6" x14ac:dyDescent="0.35">
      <c r="A219" s="1">
        <v>44538.59375</v>
      </c>
      <c r="B219" t="s">
        <v>5</v>
      </c>
      <c r="C219" t="s">
        <v>6</v>
      </c>
      <c r="D219" t="s">
        <v>156</v>
      </c>
      <c r="E219" t="s">
        <v>8</v>
      </c>
      <c r="F219" s="4">
        <v>100</v>
      </c>
    </row>
    <row r="220" spans="1:6" x14ac:dyDescent="0.35">
      <c r="A220" s="1">
        <v>44538.59375</v>
      </c>
      <c r="B220" t="s">
        <v>157</v>
      </c>
      <c r="C220" t="s">
        <v>6</v>
      </c>
      <c r="D220" t="s">
        <v>158</v>
      </c>
      <c r="E220" t="s">
        <v>8</v>
      </c>
      <c r="F220" s="4">
        <v>15</v>
      </c>
    </row>
    <row r="221" spans="1:6" x14ac:dyDescent="0.35">
      <c r="A221" s="1">
        <v>44538.303472222222</v>
      </c>
      <c r="B221" t="s">
        <v>5</v>
      </c>
      <c r="C221" t="s">
        <v>6</v>
      </c>
      <c r="D221" t="s">
        <v>159</v>
      </c>
      <c r="E221" t="s">
        <v>8</v>
      </c>
      <c r="F221" s="4">
        <v>10</v>
      </c>
    </row>
    <row r="222" spans="1:6" x14ac:dyDescent="0.35">
      <c r="A222" s="1">
        <v>44537.412499999999</v>
      </c>
      <c r="B222" t="s">
        <v>5</v>
      </c>
      <c r="C222" t="s">
        <v>6</v>
      </c>
      <c r="D222" t="s">
        <v>136</v>
      </c>
      <c r="E222" t="s">
        <v>8</v>
      </c>
      <c r="F222" s="4">
        <v>25</v>
      </c>
    </row>
    <row r="223" spans="1:6" x14ac:dyDescent="0.35">
      <c r="A223" s="1">
        <v>44537.332638888889</v>
      </c>
      <c r="B223" t="s">
        <v>5</v>
      </c>
      <c r="C223" t="s">
        <v>6</v>
      </c>
      <c r="D223" t="s">
        <v>160</v>
      </c>
      <c r="E223" t="s">
        <v>8</v>
      </c>
      <c r="F223" s="4">
        <v>15</v>
      </c>
    </row>
    <row r="224" spans="1:6" x14ac:dyDescent="0.35">
      <c r="A224" s="1">
        <v>44536.915972222225</v>
      </c>
      <c r="B224" t="s">
        <v>5</v>
      </c>
      <c r="C224" t="s">
        <v>6</v>
      </c>
      <c r="D224" t="s">
        <v>136</v>
      </c>
      <c r="E224" t="s">
        <v>8</v>
      </c>
      <c r="F224" s="4">
        <v>25</v>
      </c>
    </row>
    <row r="225" spans="1:6" x14ac:dyDescent="0.35">
      <c r="A225" s="1">
        <v>44536.838194444441</v>
      </c>
      <c r="B225" t="s">
        <v>5</v>
      </c>
      <c r="C225" t="s">
        <v>27</v>
      </c>
      <c r="D225" t="s">
        <v>161</v>
      </c>
      <c r="E225" t="s">
        <v>8</v>
      </c>
      <c r="F225" s="4">
        <v>500</v>
      </c>
    </row>
    <row r="226" spans="1:6" x14ac:dyDescent="0.35">
      <c r="A226" s="1">
        <v>44536.831250000003</v>
      </c>
      <c r="B226" t="s">
        <v>5</v>
      </c>
      <c r="C226" t="s">
        <v>27</v>
      </c>
      <c r="D226" t="s">
        <v>162</v>
      </c>
      <c r="E226" t="s">
        <v>8</v>
      </c>
      <c r="F226" s="4">
        <v>140</v>
      </c>
    </row>
    <row r="227" spans="1:6" x14ac:dyDescent="0.35">
      <c r="A227" s="1">
        <v>44536.588888888888</v>
      </c>
      <c r="B227" t="s">
        <v>5</v>
      </c>
      <c r="C227" t="s">
        <v>6</v>
      </c>
      <c r="D227" t="s">
        <v>156</v>
      </c>
      <c r="E227" t="s">
        <v>8</v>
      </c>
      <c r="F227" s="4">
        <v>150</v>
      </c>
    </row>
    <row r="228" spans="1:6" x14ac:dyDescent="0.35">
      <c r="A228" s="1">
        <v>44535.822916666664</v>
      </c>
      <c r="B228" t="s">
        <v>5</v>
      </c>
      <c r="C228" t="s">
        <v>6</v>
      </c>
      <c r="D228" t="s">
        <v>136</v>
      </c>
      <c r="E228" t="s">
        <v>8</v>
      </c>
      <c r="F228" s="4">
        <v>25</v>
      </c>
    </row>
    <row r="229" spans="1:6" x14ac:dyDescent="0.35">
      <c r="A229" s="1">
        <v>44535.77847222222</v>
      </c>
      <c r="B229" t="s">
        <v>5</v>
      </c>
      <c r="C229" t="s">
        <v>27</v>
      </c>
      <c r="D229" t="s">
        <v>163</v>
      </c>
      <c r="E229" t="s">
        <v>8</v>
      </c>
      <c r="F229" s="4">
        <v>1800</v>
      </c>
    </row>
    <row r="230" spans="1:6" x14ac:dyDescent="0.35">
      <c r="A230" s="1">
        <v>44535.515972222223</v>
      </c>
      <c r="B230" t="s">
        <v>5</v>
      </c>
      <c r="C230" t="s">
        <v>24</v>
      </c>
      <c r="D230" t="s">
        <v>95</v>
      </c>
      <c r="E230" t="s">
        <v>8</v>
      </c>
      <c r="F230" s="4">
        <v>4800</v>
      </c>
    </row>
    <row r="231" spans="1:6" x14ac:dyDescent="0.35">
      <c r="A231" s="1">
        <v>44535.515972222223</v>
      </c>
      <c r="B231" t="s">
        <v>5</v>
      </c>
      <c r="C231" t="s">
        <v>120</v>
      </c>
      <c r="D231" t="s">
        <v>17</v>
      </c>
      <c r="E231" t="s">
        <v>16</v>
      </c>
      <c r="F231" s="4">
        <v>8000</v>
      </c>
    </row>
    <row r="232" spans="1:6" x14ac:dyDescent="0.35">
      <c r="A232" s="1">
        <v>44534.878472222219</v>
      </c>
      <c r="B232" t="s">
        <v>5</v>
      </c>
      <c r="C232" t="s">
        <v>6</v>
      </c>
      <c r="D232" t="s">
        <v>11</v>
      </c>
      <c r="E232" t="s">
        <v>8</v>
      </c>
      <c r="F232" s="4">
        <v>324</v>
      </c>
    </row>
    <row r="233" spans="1:6" x14ac:dyDescent="0.35">
      <c r="A233" s="1">
        <v>44534.847222222219</v>
      </c>
      <c r="B233" t="s">
        <v>5</v>
      </c>
      <c r="C233" t="s">
        <v>6</v>
      </c>
      <c r="D233" t="s">
        <v>76</v>
      </c>
      <c r="E233" t="s">
        <v>8</v>
      </c>
      <c r="F233" s="4">
        <v>65</v>
      </c>
    </row>
    <row r="234" spans="1:6" x14ac:dyDescent="0.35">
      <c r="A234" s="1">
        <v>44534.57916666667</v>
      </c>
      <c r="B234" t="s">
        <v>5</v>
      </c>
      <c r="C234" t="s">
        <v>9</v>
      </c>
      <c r="D234" t="s">
        <v>164</v>
      </c>
      <c r="E234" t="s">
        <v>8</v>
      </c>
      <c r="F234" s="4">
        <v>30</v>
      </c>
    </row>
    <row r="235" spans="1:6" x14ac:dyDescent="0.35">
      <c r="A235" s="1">
        <v>44534.425694444442</v>
      </c>
      <c r="B235" t="s">
        <v>5</v>
      </c>
      <c r="C235" t="s">
        <v>6</v>
      </c>
      <c r="D235" t="s">
        <v>165</v>
      </c>
      <c r="E235" t="s">
        <v>8</v>
      </c>
      <c r="F235" s="4">
        <v>200</v>
      </c>
    </row>
    <row r="236" spans="1:6" x14ac:dyDescent="0.35">
      <c r="A236" s="1">
        <v>44533.915972222225</v>
      </c>
      <c r="B236" t="s">
        <v>5</v>
      </c>
      <c r="C236" t="s">
        <v>6</v>
      </c>
      <c r="D236" t="s">
        <v>136</v>
      </c>
      <c r="E236" t="s">
        <v>8</v>
      </c>
      <c r="F236" s="4">
        <v>25</v>
      </c>
    </row>
    <row r="237" spans="1:6" x14ac:dyDescent="0.35">
      <c r="A237" s="1">
        <v>44533.915972222225</v>
      </c>
      <c r="B237" t="s">
        <v>5</v>
      </c>
      <c r="C237" t="s">
        <v>27</v>
      </c>
      <c r="D237" t="s">
        <v>166</v>
      </c>
      <c r="E237" t="s">
        <v>8</v>
      </c>
      <c r="F237" s="4">
        <v>130</v>
      </c>
    </row>
    <row r="238" spans="1:6" x14ac:dyDescent="0.35">
      <c r="A238" s="1">
        <v>44533.894444444442</v>
      </c>
      <c r="B238" t="s">
        <v>5</v>
      </c>
      <c r="C238" t="s">
        <v>27</v>
      </c>
      <c r="D238" t="s">
        <v>167</v>
      </c>
      <c r="E238" t="s">
        <v>8</v>
      </c>
      <c r="F238" s="4">
        <v>20</v>
      </c>
    </row>
    <row r="239" spans="1:6" x14ac:dyDescent="0.35">
      <c r="A239" s="1">
        <v>44533.894444444442</v>
      </c>
      <c r="B239" t="s">
        <v>5</v>
      </c>
      <c r="C239" t="s">
        <v>6</v>
      </c>
      <c r="D239" t="s">
        <v>76</v>
      </c>
      <c r="E239" t="s">
        <v>8</v>
      </c>
      <c r="F239" s="4">
        <v>40</v>
      </c>
    </row>
    <row r="240" spans="1:6" x14ac:dyDescent="0.35">
      <c r="A240" s="1">
        <v>44533.894444444442</v>
      </c>
      <c r="B240" t="s">
        <v>5</v>
      </c>
      <c r="C240" t="s">
        <v>120</v>
      </c>
      <c r="D240" t="s">
        <v>17</v>
      </c>
      <c r="E240" t="s">
        <v>16</v>
      </c>
      <c r="F240" s="4">
        <v>1000</v>
      </c>
    </row>
    <row r="241" spans="1:6" x14ac:dyDescent="0.35">
      <c r="A241" s="1">
        <v>44532.838194444441</v>
      </c>
      <c r="B241" t="s">
        <v>5</v>
      </c>
      <c r="C241" t="s">
        <v>6</v>
      </c>
      <c r="D241" t="s">
        <v>168</v>
      </c>
      <c r="E241" t="s">
        <v>8</v>
      </c>
      <c r="F241" s="4">
        <v>504</v>
      </c>
    </row>
    <row r="242" spans="1:6" x14ac:dyDescent="0.35">
      <c r="A242" s="1">
        <v>44532.824999999997</v>
      </c>
      <c r="B242" t="s">
        <v>5</v>
      </c>
      <c r="C242" t="s">
        <v>6</v>
      </c>
      <c r="D242" t="s">
        <v>169</v>
      </c>
      <c r="E242" t="s">
        <v>8</v>
      </c>
      <c r="F242" s="4">
        <v>75</v>
      </c>
    </row>
    <row r="243" spans="1:6" x14ac:dyDescent="0.35">
      <c r="A243" s="1">
        <v>44531.831250000003</v>
      </c>
      <c r="B243" t="s">
        <v>5</v>
      </c>
      <c r="C243" t="s">
        <v>170</v>
      </c>
      <c r="D243" t="s">
        <v>171</v>
      </c>
      <c r="E243" t="s">
        <v>8</v>
      </c>
      <c r="F243" s="4">
        <v>196</v>
      </c>
    </row>
    <row r="244" spans="1:6" x14ac:dyDescent="0.35">
      <c r="A244" s="1">
        <v>44531.583333333336</v>
      </c>
      <c r="B244" t="s">
        <v>5</v>
      </c>
      <c r="C244" t="s">
        <v>6</v>
      </c>
      <c r="D244" t="s">
        <v>68</v>
      </c>
      <c r="E244" t="s">
        <v>8</v>
      </c>
      <c r="F244" s="4">
        <v>160</v>
      </c>
    </row>
    <row r="245" spans="1:6" x14ac:dyDescent="0.35">
      <c r="A245" s="1">
        <v>44530.6</v>
      </c>
      <c r="B245" t="s">
        <v>5</v>
      </c>
      <c r="C245" t="s">
        <v>172</v>
      </c>
      <c r="D245" t="s">
        <v>173</v>
      </c>
      <c r="E245" t="s">
        <v>8</v>
      </c>
      <c r="F245" s="4">
        <v>115</v>
      </c>
    </row>
    <row r="246" spans="1:6" x14ac:dyDescent="0.35">
      <c r="A246" s="1">
        <v>44530.595138888886</v>
      </c>
      <c r="B246" t="s">
        <v>5</v>
      </c>
      <c r="C246" t="s">
        <v>6</v>
      </c>
      <c r="D246" t="s">
        <v>68</v>
      </c>
      <c r="E246" t="s">
        <v>8</v>
      </c>
      <c r="F246" s="4">
        <v>128</v>
      </c>
    </row>
    <row r="247" spans="1:6" x14ac:dyDescent="0.35">
      <c r="A247" s="1">
        <v>44530.424305555556</v>
      </c>
      <c r="B247" t="s">
        <v>5</v>
      </c>
      <c r="C247" t="s">
        <v>6</v>
      </c>
      <c r="D247" t="s">
        <v>165</v>
      </c>
      <c r="E247" t="s">
        <v>8</v>
      </c>
      <c r="F247" s="4">
        <v>70</v>
      </c>
    </row>
    <row r="248" spans="1:6" x14ac:dyDescent="0.35">
      <c r="A248" s="1">
        <v>44529.865972222222</v>
      </c>
      <c r="B248" t="s">
        <v>5</v>
      </c>
      <c r="C248" t="s">
        <v>6</v>
      </c>
      <c r="D248" t="s">
        <v>68</v>
      </c>
      <c r="E248" t="s">
        <v>8</v>
      </c>
      <c r="F248" s="4">
        <v>40</v>
      </c>
    </row>
    <row r="249" spans="1:6" x14ac:dyDescent="0.35">
      <c r="A249" s="1">
        <v>44529.865972222222</v>
      </c>
      <c r="B249" t="s">
        <v>5</v>
      </c>
      <c r="C249" t="s">
        <v>6</v>
      </c>
      <c r="D249" t="s">
        <v>11</v>
      </c>
      <c r="E249" t="s">
        <v>8</v>
      </c>
      <c r="F249" s="4">
        <v>50</v>
      </c>
    </row>
    <row r="250" spans="1:6" x14ac:dyDescent="0.35">
      <c r="A250" s="1">
        <v>44529.839583333334</v>
      </c>
      <c r="B250" t="s">
        <v>5</v>
      </c>
      <c r="C250" t="s">
        <v>6</v>
      </c>
      <c r="D250" t="s">
        <v>150</v>
      </c>
      <c r="E250" t="s">
        <v>8</v>
      </c>
      <c r="F250" s="4">
        <v>40</v>
      </c>
    </row>
    <row r="251" spans="1:6" x14ac:dyDescent="0.35">
      <c r="A251" s="1">
        <v>44529.395138888889</v>
      </c>
      <c r="B251" t="s">
        <v>5</v>
      </c>
      <c r="C251" t="s">
        <v>6</v>
      </c>
      <c r="D251" t="s">
        <v>165</v>
      </c>
      <c r="E251" t="s">
        <v>8</v>
      </c>
      <c r="F251" s="4">
        <v>40</v>
      </c>
    </row>
    <row r="252" spans="1:6" x14ac:dyDescent="0.35">
      <c r="A252" s="1">
        <v>44528.832638888889</v>
      </c>
      <c r="B252" t="s">
        <v>5</v>
      </c>
      <c r="C252" t="s">
        <v>6</v>
      </c>
      <c r="D252" t="s">
        <v>76</v>
      </c>
      <c r="E252" t="s">
        <v>8</v>
      </c>
      <c r="F252" s="4">
        <v>94</v>
      </c>
    </row>
    <row r="253" spans="1:6" x14ac:dyDescent="0.35">
      <c r="A253" s="1">
        <v>44528.548611111109</v>
      </c>
      <c r="B253" t="s">
        <v>5</v>
      </c>
      <c r="C253" t="s">
        <v>6</v>
      </c>
      <c r="D253" t="s">
        <v>174</v>
      </c>
      <c r="E253" t="s">
        <v>8</v>
      </c>
      <c r="F253" s="4">
        <v>269.39999999999998</v>
      </c>
    </row>
    <row r="254" spans="1:6" x14ac:dyDescent="0.35">
      <c r="A254" s="1">
        <v>44527.968055555553</v>
      </c>
      <c r="B254" t="s">
        <v>5</v>
      </c>
      <c r="C254" t="s">
        <v>6</v>
      </c>
      <c r="D254" t="s">
        <v>175</v>
      </c>
      <c r="E254" t="s">
        <v>8</v>
      </c>
      <c r="F254" s="4">
        <v>120</v>
      </c>
    </row>
    <row r="255" spans="1:6" x14ac:dyDescent="0.35">
      <c r="A255" s="1">
        <v>44527.94027777778</v>
      </c>
      <c r="B255" t="s">
        <v>5</v>
      </c>
      <c r="C255" t="s">
        <v>6</v>
      </c>
      <c r="D255" t="s">
        <v>175</v>
      </c>
      <c r="E255" t="s">
        <v>8</v>
      </c>
      <c r="F255" s="4">
        <v>130</v>
      </c>
    </row>
    <row r="256" spans="1:6" x14ac:dyDescent="0.35">
      <c r="A256" s="1">
        <v>44527.77847222222</v>
      </c>
      <c r="B256" t="s">
        <v>5</v>
      </c>
      <c r="C256" t="s">
        <v>12</v>
      </c>
      <c r="D256" t="s">
        <v>176</v>
      </c>
      <c r="E256" t="s">
        <v>8</v>
      </c>
      <c r="F256" s="4">
        <v>35</v>
      </c>
    </row>
    <row r="257" spans="1:6" x14ac:dyDescent="0.35">
      <c r="A257" s="1">
        <v>44527.573611111111</v>
      </c>
      <c r="B257" t="s">
        <v>5</v>
      </c>
      <c r="C257" t="s">
        <v>6</v>
      </c>
      <c r="D257" t="s">
        <v>68</v>
      </c>
      <c r="E257" t="s">
        <v>8</v>
      </c>
      <c r="F257" s="4">
        <v>75</v>
      </c>
    </row>
    <row r="258" spans="1:6" x14ac:dyDescent="0.35">
      <c r="A258" s="1">
        <v>44527.573611111111</v>
      </c>
      <c r="B258" t="s">
        <v>5</v>
      </c>
      <c r="C258" t="s">
        <v>120</v>
      </c>
      <c r="D258" t="s">
        <v>17</v>
      </c>
      <c r="E258" t="s">
        <v>16</v>
      </c>
      <c r="F258" s="4">
        <v>2000</v>
      </c>
    </row>
    <row r="259" spans="1:6" x14ac:dyDescent="0.35">
      <c r="A259" s="1">
        <v>44527.397916666669</v>
      </c>
      <c r="B259" t="s">
        <v>5</v>
      </c>
      <c r="C259" t="s">
        <v>6</v>
      </c>
      <c r="D259" t="s">
        <v>165</v>
      </c>
      <c r="E259" t="s">
        <v>8</v>
      </c>
      <c r="F259" s="4">
        <v>30</v>
      </c>
    </row>
    <row r="260" spans="1:6" x14ac:dyDescent="0.35">
      <c r="A260" s="1">
        <v>44526.913888888892</v>
      </c>
      <c r="B260" t="s">
        <v>5</v>
      </c>
      <c r="C260" t="s">
        <v>6</v>
      </c>
      <c r="D260" t="s">
        <v>137</v>
      </c>
      <c r="E260" t="s">
        <v>8</v>
      </c>
      <c r="F260" s="4">
        <v>150</v>
      </c>
    </row>
    <row r="261" spans="1:6" x14ac:dyDescent="0.35">
      <c r="A261" s="1">
        <v>44526.872916666667</v>
      </c>
      <c r="B261" t="s">
        <v>5</v>
      </c>
      <c r="C261" t="s">
        <v>6</v>
      </c>
      <c r="D261" t="s">
        <v>76</v>
      </c>
      <c r="E261" t="s">
        <v>8</v>
      </c>
      <c r="F261" s="4">
        <v>102</v>
      </c>
    </row>
    <row r="262" spans="1:6" x14ac:dyDescent="0.35">
      <c r="A262" s="1">
        <v>44526.84375</v>
      </c>
      <c r="B262" t="s">
        <v>5</v>
      </c>
      <c r="C262" t="s">
        <v>6</v>
      </c>
      <c r="D262" t="s">
        <v>150</v>
      </c>
      <c r="E262" t="s">
        <v>8</v>
      </c>
      <c r="F262" s="4">
        <v>40</v>
      </c>
    </row>
    <row r="263" spans="1:6" x14ac:dyDescent="0.35">
      <c r="A263" s="1">
        <v>44526.593055555553</v>
      </c>
      <c r="B263" t="s">
        <v>5</v>
      </c>
      <c r="C263" t="s">
        <v>177</v>
      </c>
      <c r="D263" t="s">
        <v>178</v>
      </c>
      <c r="E263" t="s">
        <v>16</v>
      </c>
      <c r="F263" s="4">
        <v>3</v>
      </c>
    </row>
    <row r="264" spans="1:6" x14ac:dyDescent="0.35">
      <c r="A264" s="1">
        <v>44526.593055555553</v>
      </c>
      <c r="B264" t="s">
        <v>5</v>
      </c>
      <c r="C264" t="s">
        <v>6</v>
      </c>
      <c r="D264" t="s">
        <v>68</v>
      </c>
      <c r="E264" t="s">
        <v>8</v>
      </c>
      <c r="F264" s="4">
        <v>150</v>
      </c>
    </row>
    <row r="265" spans="1:6" x14ac:dyDescent="0.35">
      <c r="A265" s="1">
        <v>44526.390277777777</v>
      </c>
      <c r="B265" t="s">
        <v>5</v>
      </c>
      <c r="C265" t="s">
        <v>6</v>
      </c>
      <c r="D265" t="s">
        <v>165</v>
      </c>
      <c r="E265" t="s">
        <v>8</v>
      </c>
      <c r="F265" s="4">
        <v>60</v>
      </c>
    </row>
    <row r="266" spans="1:6" x14ac:dyDescent="0.35">
      <c r="A266" s="1">
        <v>44525.852083333331</v>
      </c>
      <c r="B266" t="s">
        <v>5</v>
      </c>
      <c r="C266" t="s">
        <v>6</v>
      </c>
      <c r="D266" t="s">
        <v>68</v>
      </c>
      <c r="E266" t="s">
        <v>8</v>
      </c>
      <c r="F266" s="4">
        <v>145</v>
      </c>
    </row>
    <row r="267" spans="1:6" x14ac:dyDescent="0.35">
      <c r="A267" s="1">
        <v>44525.852083333331</v>
      </c>
      <c r="B267" t="s">
        <v>5</v>
      </c>
      <c r="C267" t="s">
        <v>12</v>
      </c>
      <c r="D267" t="s">
        <v>176</v>
      </c>
      <c r="E267" t="s">
        <v>8</v>
      </c>
      <c r="F267" s="4">
        <v>58</v>
      </c>
    </row>
    <row r="268" spans="1:6" x14ac:dyDescent="0.35">
      <c r="A268" s="1">
        <v>44525.852083333331</v>
      </c>
      <c r="B268" t="s">
        <v>5</v>
      </c>
      <c r="C268" t="s">
        <v>6</v>
      </c>
      <c r="D268" t="s">
        <v>11</v>
      </c>
      <c r="E268" t="s">
        <v>8</v>
      </c>
      <c r="F268" s="4">
        <v>95</v>
      </c>
    </row>
    <row r="269" spans="1:6" x14ac:dyDescent="0.35">
      <c r="A269" s="1">
        <v>44524.80972222222</v>
      </c>
      <c r="B269" t="s">
        <v>5</v>
      </c>
      <c r="C269" t="s">
        <v>6</v>
      </c>
      <c r="D269" t="s">
        <v>76</v>
      </c>
      <c r="E269" t="s">
        <v>8</v>
      </c>
      <c r="F269" s="4">
        <v>15</v>
      </c>
    </row>
    <row r="270" spans="1:6" x14ac:dyDescent="0.35">
      <c r="A270" s="1">
        <v>44524.807638888888</v>
      </c>
      <c r="B270" t="s">
        <v>5</v>
      </c>
      <c r="C270" t="s">
        <v>6</v>
      </c>
      <c r="D270" t="s">
        <v>11</v>
      </c>
      <c r="E270" t="s">
        <v>8</v>
      </c>
      <c r="F270" s="4">
        <v>70</v>
      </c>
    </row>
    <row r="271" spans="1:6" x14ac:dyDescent="0.35">
      <c r="A271" s="1">
        <v>44524.79583333333</v>
      </c>
      <c r="B271" t="s">
        <v>5</v>
      </c>
      <c r="C271" t="s">
        <v>6</v>
      </c>
      <c r="D271" t="s">
        <v>150</v>
      </c>
      <c r="E271" t="s">
        <v>8</v>
      </c>
      <c r="F271" s="4">
        <v>20</v>
      </c>
    </row>
    <row r="272" spans="1:6" x14ac:dyDescent="0.35">
      <c r="A272" s="1">
        <v>44524.79583333333</v>
      </c>
      <c r="B272" t="s">
        <v>5</v>
      </c>
      <c r="C272" t="s">
        <v>12</v>
      </c>
      <c r="D272" t="s">
        <v>176</v>
      </c>
      <c r="E272" t="s">
        <v>8</v>
      </c>
      <c r="F272" s="4">
        <v>58</v>
      </c>
    </row>
    <row r="273" spans="1:6" x14ac:dyDescent="0.35">
      <c r="A273" s="1">
        <v>44523.953472222223</v>
      </c>
      <c r="B273" t="s">
        <v>5</v>
      </c>
      <c r="C273" t="s">
        <v>12</v>
      </c>
      <c r="D273" t="s">
        <v>176</v>
      </c>
      <c r="E273" t="s">
        <v>8</v>
      </c>
      <c r="F273" s="4">
        <v>50</v>
      </c>
    </row>
    <row r="274" spans="1:6" x14ac:dyDescent="0.35">
      <c r="A274" s="1">
        <v>44523.953472222223</v>
      </c>
      <c r="B274" t="s">
        <v>5</v>
      </c>
      <c r="C274" t="s">
        <v>6</v>
      </c>
      <c r="D274" t="s">
        <v>11</v>
      </c>
      <c r="E274" t="s">
        <v>8</v>
      </c>
      <c r="F274" s="4">
        <v>179</v>
      </c>
    </row>
    <row r="275" spans="1:6" x14ac:dyDescent="0.35">
      <c r="A275" s="1">
        <v>44522.594444444447</v>
      </c>
      <c r="B275" t="s">
        <v>5</v>
      </c>
      <c r="C275" t="s">
        <v>6</v>
      </c>
      <c r="D275" t="s">
        <v>11</v>
      </c>
      <c r="E275" t="s">
        <v>8</v>
      </c>
      <c r="F275" s="4">
        <v>90</v>
      </c>
    </row>
    <row r="276" spans="1:6" x14ac:dyDescent="0.35">
      <c r="A276" s="1">
        <v>44522.594444444447</v>
      </c>
      <c r="B276" t="s">
        <v>5</v>
      </c>
      <c r="C276" t="s">
        <v>6</v>
      </c>
      <c r="D276" t="s">
        <v>68</v>
      </c>
      <c r="E276" t="s">
        <v>8</v>
      </c>
      <c r="F276" s="4">
        <v>97</v>
      </c>
    </row>
    <row r="277" spans="1:6" x14ac:dyDescent="0.35">
      <c r="A277" s="1">
        <v>44521.713194444441</v>
      </c>
      <c r="B277" t="s">
        <v>5</v>
      </c>
      <c r="C277" t="s">
        <v>12</v>
      </c>
      <c r="D277" t="s">
        <v>176</v>
      </c>
      <c r="E277" t="s">
        <v>8</v>
      </c>
      <c r="F277" s="4">
        <v>130</v>
      </c>
    </row>
    <row r="278" spans="1:6" x14ac:dyDescent="0.35">
      <c r="A278" s="1">
        <v>44521.659722222219</v>
      </c>
      <c r="B278" t="s">
        <v>5</v>
      </c>
      <c r="C278" t="s">
        <v>6</v>
      </c>
      <c r="D278" t="s">
        <v>20</v>
      </c>
      <c r="E278" t="s">
        <v>8</v>
      </c>
      <c r="F278" s="4">
        <v>875</v>
      </c>
    </row>
    <row r="279" spans="1:6" x14ac:dyDescent="0.35">
      <c r="A279" s="1">
        <v>44521.5625</v>
      </c>
      <c r="B279" t="s">
        <v>5</v>
      </c>
      <c r="C279" t="s">
        <v>9</v>
      </c>
      <c r="D279" t="s">
        <v>179</v>
      </c>
      <c r="E279" t="s">
        <v>16</v>
      </c>
      <c r="F279" s="4">
        <v>2000</v>
      </c>
    </row>
  </sheetData>
  <dataValidations count="1">
    <dataValidation type="date" allowBlank="1" showInputMessage="1" showErrorMessage="1" error="Invalid Date" sqref="A2:A279" xr:uid="{5CC4B030-70BC-4224-8DB2-49218F3C45C8}">
      <formula1>44197</formula1>
      <formula2>44561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4029-DDAB-415A-BEBF-CB46A1E82CD2}">
  <dimension ref="A1:H258"/>
  <sheetViews>
    <sheetView workbookViewId="0">
      <selection activeCell="A3" sqref="A3:H258"/>
    </sheetView>
  </sheetViews>
  <sheetFormatPr defaultRowHeight="14.5" x14ac:dyDescent="0.35"/>
  <cols>
    <col min="1" max="1" width="15.54296875" bestFit="1" customWidth="1"/>
    <col min="2" max="2" width="19" bestFit="1" customWidth="1"/>
    <col min="3" max="3" width="15.54296875" bestFit="1" customWidth="1"/>
    <col min="4" max="4" width="37.54296875" bestFit="1" customWidth="1"/>
    <col min="5" max="5" width="17.08984375" bestFit="1" customWidth="1"/>
    <col min="6" max="6" width="10.90625" bestFit="1" customWidth="1"/>
    <col min="7" max="7" width="8.81640625" bestFit="1" customWidth="1"/>
    <col min="8" max="8" width="13.1796875" bestFit="1" customWidth="1"/>
  </cols>
  <sheetData>
    <row r="1" spans="1:8" x14ac:dyDescent="0.35">
      <c r="A1" s="2" t="s">
        <v>191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190</v>
      </c>
      <c r="G3" t="s">
        <v>9</v>
      </c>
      <c r="H3" t="s">
        <v>189</v>
      </c>
    </row>
    <row r="4" spans="1:8" x14ac:dyDescent="0.35">
      <c r="A4" s="1">
        <v>44527.573611111111</v>
      </c>
      <c r="B4" t="s">
        <v>5</v>
      </c>
      <c r="C4" t="s">
        <v>120</v>
      </c>
      <c r="D4" t="s">
        <v>17</v>
      </c>
      <c r="E4" t="s">
        <v>16</v>
      </c>
      <c r="F4">
        <v>2000</v>
      </c>
    </row>
    <row r="5" spans="1:8" x14ac:dyDescent="0.35">
      <c r="A5" s="1">
        <v>44562.90625</v>
      </c>
      <c r="B5" t="s">
        <v>5</v>
      </c>
      <c r="C5" t="s">
        <v>120</v>
      </c>
      <c r="D5" t="s">
        <v>17</v>
      </c>
      <c r="E5" t="s">
        <v>16</v>
      </c>
      <c r="F5">
        <v>1000</v>
      </c>
    </row>
    <row r="6" spans="1:8" x14ac:dyDescent="0.35">
      <c r="A6" s="1">
        <v>44548.875</v>
      </c>
      <c r="B6" t="s">
        <v>5</v>
      </c>
      <c r="C6" t="s">
        <v>120</v>
      </c>
      <c r="D6" t="s">
        <v>17</v>
      </c>
      <c r="E6" t="s">
        <v>16</v>
      </c>
      <c r="F6">
        <v>1000</v>
      </c>
    </row>
    <row r="7" spans="1:8" x14ac:dyDescent="0.35">
      <c r="A7" s="1">
        <v>44541.390277777777</v>
      </c>
      <c r="B7" t="s">
        <v>5</v>
      </c>
      <c r="C7" t="s">
        <v>120</v>
      </c>
      <c r="D7" t="s">
        <v>17</v>
      </c>
      <c r="E7" t="s">
        <v>16</v>
      </c>
      <c r="F7">
        <v>1000</v>
      </c>
    </row>
    <row r="8" spans="1:8" x14ac:dyDescent="0.35">
      <c r="A8" s="1">
        <v>44535.515972222223</v>
      </c>
      <c r="B8" t="s">
        <v>5</v>
      </c>
      <c r="C8" t="s">
        <v>120</v>
      </c>
      <c r="D8" t="s">
        <v>17</v>
      </c>
      <c r="E8" t="s">
        <v>16</v>
      </c>
      <c r="F8">
        <v>8000</v>
      </c>
    </row>
    <row r="9" spans="1:8" x14ac:dyDescent="0.35">
      <c r="A9" s="1">
        <v>44533.894444444442</v>
      </c>
      <c r="B9" t="s">
        <v>5</v>
      </c>
      <c r="C9" t="s">
        <v>120</v>
      </c>
      <c r="D9" t="s">
        <v>17</v>
      </c>
      <c r="E9" t="s">
        <v>16</v>
      </c>
      <c r="F9">
        <v>1000</v>
      </c>
    </row>
    <row r="10" spans="1:8" x14ac:dyDescent="0.35">
      <c r="A10" s="1">
        <v>44615.526388888888</v>
      </c>
      <c r="B10" t="s">
        <v>5</v>
      </c>
      <c r="C10" t="s">
        <v>27</v>
      </c>
      <c r="D10" t="s">
        <v>30</v>
      </c>
      <c r="E10" t="s">
        <v>8</v>
      </c>
      <c r="F10">
        <v>399</v>
      </c>
    </row>
    <row r="11" spans="1:8" x14ac:dyDescent="0.35">
      <c r="A11" s="1">
        <v>44536.838194444441</v>
      </c>
      <c r="B11" t="s">
        <v>5</v>
      </c>
      <c r="C11" t="s">
        <v>27</v>
      </c>
      <c r="D11" t="s">
        <v>161</v>
      </c>
      <c r="E11" t="s">
        <v>8</v>
      </c>
      <c r="F11">
        <v>500</v>
      </c>
    </row>
    <row r="12" spans="1:8" x14ac:dyDescent="0.35">
      <c r="A12" s="1">
        <v>44536.831250000003</v>
      </c>
      <c r="B12" t="s">
        <v>5</v>
      </c>
      <c r="C12" t="s">
        <v>27</v>
      </c>
      <c r="D12" t="s">
        <v>162</v>
      </c>
      <c r="E12" t="s">
        <v>8</v>
      </c>
      <c r="F12">
        <v>140</v>
      </c>
    </row>
    <row r="13" spans="1:8" x14ac:dyDescent="0.35">
      <c r="A13" s="1">
        <v>44535.77847222222</v>
      </c>
      <c r="B13" t="s">
        <v>5</v>
      </c>
      <c r="C13" t="s">
        <v>27</v>
      </c>
      <c r="D13" t="s">
        <v>163</v>
      </c>
      <c r="E13" t="s">
        <v>8</v>
      </c>
      <c r="F13">
        <v>1800</v>
      </c>
    </row>
    <row r="14" spans="1:8" x14ac:dyDescent="0.35">
      <c r="A14" s="1">
        <v>44533.915972222225</v>
      </c>
      <c r="B14" t="s">
        <v>5</v>
      </c>
      <c r="C14" t="s">
        <v>27</v>
      </c>
      <c r="D14" t="s">
        <v>166</v>
      </c>
      <c r="E14" t="s">
        <v>8</v>
      </c>
      <c r="F14">
        <v>130</v>
      </c>
    </row>
    <row r="15" spans="1:8" x14ac:dyDescent="0.35">
      <c r="A15" s="1">
        <v>44533.894444444442</v>
      </c>
      <c r="B15" t="s">
        <v>5</v>
      </c>
      <c r="C15" t="s">
        <v>27</v>
      </c>
      <c r="D15" t="s">
        <v>167</v>
      </c>
      <c r="E15" t="s">
        <v>8</v>
      </c>
      <c r="F15">
        <v>20</v>
      </c>
    </row>
    <row r="16" spans="1:8" x14ac:dyDescent="0.35">
      <c r="A16" s="1">
        <v>44531.831250000003</v>
      </c>
      <c r="B16" t="s">
        <v>5</v>
      </c>
      <c r="C16" t="s">
        <v>170</v>
      </c>
      <c r="D16" t="s">
        <v>171</v>
      </c>
      <c r="E16" t="s">
        <v>8</v>
      </c>
      <c r="F16">
        <v>196</v>
      </c>
    </row>
    <row r="17" spans="1:6" x14ac:dyDescent="0.35">
      <c r="A17" s="1">
        <v>44565.924305555556</v>
      </c>
      <c r="B17" t="s">
        <v>5</v>
      </c>
      <c r="C17" t="s">
        <v>108</v>
      </c>
      <c r="D17" t="s">
        <v>109</v>
      </c>
      <c r="E17" t="s">
        <v>8</v>
      </c>
      <c r="F17">
        <v>1400</v>
      </c>
    </row>
    <row r="18" spans="1:6" x14ac:dyDescent="0.35">
      <c r="A18" s="1">
        <v>44521.659722222219</v>
      </c>
      <c r="B18" t="s">
        <v>5</v>
      </c>
      <c r="C18" t="s">
        <v>6</v>
      </c>
      <c r="D18" t="s">
        <v>20</v>
      </c>
      <c r="E18" t="s">
        <v>8</v>
      </c>
      <c r="F18">
        <v>875</v>
      </c>
    </row>
    <row r="19" spans="1:6" x14ac:dyDescent="0.35">
      <c r="A19" s="1">
        <v>44522.594444444447</v>
      </c>
      <c r="B19" t="s">
        <v>5</v>
      </c>
      <c r="C19" t="s">
        <v>6</v>
      </c>
      <c r="D19" t="s">
        <v>68</v>
      </c>
      <c r="E19" t="s">
        <v>8</v>
      </c>
      <c r="F19">
        <v>97</v>
      </c>
    </row>
    <row r="20" spans="1:6" x14ac:dyDescent="0.35">
      <c r="A20" s="1">
        <v>44522.594444444447</v>
      </c>
      <c r="B20" t="s">
        <v>5</v>
      </c>
      <c r="C20" t="s">
        <v>6</v>
      </c>
      <c r="D20" t="s">
        <v>11</v>
      </c>
      <c r="E20" t="s">
        <v>8</v>
      </c>
      <c r="F20">
        <v>90</v>
      </c>
    </row>
    <row r="21" spans="1:6" x14ac:dyDescent="0.35">
      <c r="A21" s="1">
        <v>44523.953472222223</v>
      </c>
      <c r="B21" t="s">
        <v>5</v>
      </c>
      <c r="C21" t="s">
        <v>6</v>
      </c>
      <c r="D21" t="s">
        <v>11</v>
      </c>
      <c r="E21" t="s">
        <v>8</v>
      </c>
      <c r="F21">
        <v>179</v>
      </c>
    </row>
    <row r="22" spans="1:6" x14ac:dyDescent="0.35">
      <c r="A22" s="1">
        <v>44524.79583333333</v>
      </c>
      <c r="B22" t="s">
        <v>5</v>
      </c>
      <c r="C22" t="s">
        <v>6</v>
      </c>
      <c r="D22" t="s">
        <v>150</v>
      </c>
      <c r="E22" t="s">
        <v>8</v>
      </c>
      <c r="F22">
        <v>20</v>
      </c>
    </row>
    <row r="23" spans="1:6" x14ac:dyDescent="0.35">
      <c r="A23" s="1">
        <v>44524.807638888888</v>
      </c>
      <c r="B23" t="s">
        <v>5</v>
      </c>
      <c r="C23" t="s">
        <v>6</v>
      </c>
      <c r="D23" t="s">
        <v>11</v>
      </c>
      <c r="E23" t="s">
        <v>8</v>
      </c>
      <c r="F23">
        <v>70</v>
      </c>
    </row>
    <row r="24" spans="1:6" x14ac:dyDescent="0.35">
      <c r="A24" s="1">
        <v>44524.80972222222</v>
      </c>
      <c r="B24" t="s">
        <v>5</v>
      </c>
      <c r="C24" t="s">
        <v>6</v>
      </c>
      <c r="D24" t="s">
        <v>76</v>
      </c>
      <c r="E24" t="s">
        <v>8</v>
      </c>
      <c r="F24">
        <v>15</v>
      </c>
    </row>
    <row r="25" spans="1:6" x14ac:dyDescent="0.35">
      <c r="A25" s="1">
        <v>44525.852083333331</v>
      </c>
      <c r="B25" t="s">
        <v>5</v>
      </c>
      <c r="C25" t="s">
        <v>6</v>
      </c>
      <c r="D25" t="s">
        <v>11</v>
      </c>
      <c r="E25" t="s">
        <v>8</v>
      </c>
      <c r="F25">
        <v>95</v>
      </c>
    </row>
    <row r="26" spans="1:6" x14ac:dyDescent="0.35">
      <c r="A26" s="1">
        <v>44525.852083333331</v>
      </c>
      <c r="B26" t="s">
        <v>5</v>
      </c>
      <c r="C26" t="s">
        <v>6</v>
      </c>
      <c r="D26" t="s">
        <v>68</v>
      </c>
      <c r="E26" t="s">
        <v>8</v>
      </c>
      <c r="F26">
        <v>145</v>
      </c>
    </row>
    <row r="27" spans="1:6" x14ac:dyDescent="0.35">
      <c r="A27" s="1">
        <v>44526.390277777777</v>
      </c>
      <c r="B27" t="s">
        <v>5</v>
      </c>
      <c r="C27" t="s">
        <v>6</v>
      </c>
      <c r="D27" t="s">
        <v>165</v>
      </c>
      <c r="E27" t="s">
        <v>8</v>
      </c>
      <c r="F27">
        <v>60</v>
      </c>
    </row>
    <row r="28" spans="1:6" x14ac:dyDescent="0.35">
      <c r="A28" s="1">
        <v>44526.593055555553</v>
      </c>
      <c r="B28" t="s">
        <v>5</v>
      </c>
      <c r="C28" t="s">
        <v>6</v>
      </c>
      <c r="D28" t="s">
        <v>68</v>
      </c>
      <c r="E28" t="s">
        <v>8</v>
      </c>
      <c r="F28">
        <v>150</v>
      </c>
    </row>
    <row r="29" spans="1:6" x14ac:dyDescent="0.35">
      <c r="A29" s="1">
        <v>44526.84375</v>
      </c>
      <c r="B29" t="s">
        <v>5</v>
      </c>
      <c r="C29" t="s">
        <v>6</v>
      </c>
      <c r="D29" t="s">
        <v>150</v>
      </c>
      <c r="E29" t="s">
        <v>8</v>
      </c>
      <c r="F29">
        <v>40</v>
      </c>
    </row>
    <row r="30" spans="1:6" x14ac:dyDescent="0.35">
      <c r="A30" s="1">
        <v>44526.872916666667</v>
      </c>
      <c r="B30" t="s">
        <v>5</v>
      </c>
      <c r="C30" t="s">
        <v>6</v>
      </c>
      <c r="D30" t="s">
        <v>76</v>
      </c>
      <c r="E30" t="s">
        <v>8</v>
      </c>
      <c r="F30">
        <v>102</v>
      </c>
    </row>
    <row r="31" spans="1:6" x14ac:dyDescent="0.35">
      <c r="A31" s="1">
        <v>44526.913888888892</v>
      </c>
      <c r="B31" t="s">
        <v>5</v>
      </c>
      <c r="C31" t="s">
        <v>6</v>
      </c>
      <c r="D31" t="s">
        <v>137</v>
      </c>
      <c r="E31" t="s">
        <v>8</v>
      </c>
      <c r="F31">
        <v>150</v>
      </c>
    </row>
    <row r="32" spans="1:6" x14ac:dyDescent="0.35">
      <c r="A32" s="1">
        <v>44527.397916666669</v>
      </c>
      <c r="B32" t="s">
        <v>5</v>
      </c>
      <c r="C32" t="s">
        <v>6</v>
      </c>
      <c r="D32" t="s">
        <v>165</v>
      </c>
      <c r="E32" t="s">
        <v>8</v>
      </c>
      <c r="F32">
        <v>30</v>
      </c>
    </row>
    <row r="33" spans="1:6" x14ac:dyDescent="0.35">
      <c r="A33" s="1">
        <v>44612.64166666667</v>
      </c>
      <c r="B33" t="s">
        <v>5</v>
      </c>
      <c r="C33" t="s">
        <v>6</v>
      </c>
      <c r="D33" t="s">
        <v>20</v>
      </c>
      <c r="E33" t="s">
        <v>8</v>
      </c>
      <c r="F33">
        <v>200</v>
      </c>
    </row>
    <row r="34" spans="1:6" x14ac:dyDescent="0.35">
      <c r="A34" s="1">
        <v>44611.960416666669</v>
      </c>
      <c r="B34" t="s">
        <v>5</v>
      </c>
      <c r="C34" t="s">
        <v>6</v>
      </c>
      <c r="D34" t="s">
        <v>36</v>
      </c>
      <c r="E34" t="s">
        <v>8</v>
      </c>
      <c r="F34">
        <v>111</v>
      </c>
    </row>
    <row r="35" spans="1:6" x14ac:dyDescent="0.35">
      <c r="A35" s="1">
        <v>44611.914583333331</v>
      </c>
      <c r="B35" t="s">
        <v>5</v>
      </c>
      <c r="C35" t="s">
        <v>6</v>
      </c>
      <c r="D35" t="s">
        <v>14</v>
      </c>
      <c r="E35" t="s">
        <v>8</v>
      </c>
      <c r="F35">
        <v>250</v>
      </c>
    </row>
    <row r="36" spans="1:6" x14ac:dyDescent="0.35">
      <c r="A36" s="1">
        <v>44611.864583333336</v>
      </c>
      <c r="B36" t="s">
        <v>5</v>
      </c>
      <c r="C36" t="s">
        <v>6</v>
      </c>
      <c r="D36" t="s">
        <v>39</v>
      </c>
      <c r="E36" t="s">
        <v>8</v>
      </c>
      <c r="F36">
        <v>380</v>
      </c>
    </row>
    <row r="37" spans="1:6" x14ac:dyDescent="0.35">
      <c r="A37" s="1">
        <v>44610.959027777775</v>
      </c>
      <c r="B37" t="s">
        <v>5</v>
      </c>
      <c r="C37" t="s">
        <v>6</v>
      </c>
      <c r="D37" t="s">
        <v>42</v>
      </c>
      <c r="E37" t="s">
        <v>8</v>
      </c>
      <c r="F37">
        <v>348</v>
      </c>
    </row>
    <row r="38" spans="1:6" x14ac:dyDescent="0.35">
      <c r="A38" s="1">
        <v>44609.549305555556</v>
      </c>
      <c r="B38" t="s">
        <v>5</v>
      </c>
      <c r="C38" t="s">
        <v>6</v>
      </c>
      <c r="D38" t="s">
        <v>20</v>
      </c>
      <c r="E38" t="s">
        <v>8</v>
      </c>
      <c r="F38">
        <v>80</v>
      </c>
    </row>
    <row r="39" spans="1:6" x14ac:dyDescent="0.35">
      <c r="A39" s="1">
        <v>44608.706250000003</v>
      </c>
      <c r="B39" t="s">
        <v>5</v>
      </c>
      <c r="C39" t="s">
        <v>6</v>
      </c>
      <c r="D39" t="s">
        <v>43</v>
      </c>
      <c r="E39" t="s">
        <v>8</v>
      </c>
      <c r="F39">
        <v>165</v>
      </c>
    </row>
    <row r="40" spans="1:6" x14ac:dyDescent="0.35">
      <c r="A40" s="1">
        <v>44608.706250000003</v>
      </c>
      <c r="B40" t="s">
        <v>5</v>
      </c>
      <c r="C40" t="s">
        <v>6</v>
      </c>
      <c r="D40" t="s">
        <v>44</v>
      </c>
      <c r="E40" t="s">
        <v>8</v>
      </c>
      <c r="F40">
        <v>475</v>
      </c>
    </row>
    <row r="41" spans="1:6" x14ac:dyDescent="0.35">
      <c r="A41" s="1">
        <v>44604.888888888891</v>
      </c>
      <c r="B41" t="s">
        <v>5</v>
      </c>
      <c r="C41" t="s">
        <v>6</v>
      </c>
      <c r="D41" t="s">
        <v>46</v>
      </c>
      <c r="E41" t="s">
        <v>8</v>
      </c>
      <c r="F41">
        <v>491</v>
      </c>
    </row>
    <row r="42" spans="1:6" x14ac:dyDescent="0.35">
      <c r="A42" s="1">
        <v>44604.616666666669</v>
      </c>
      <c r="B42" t="s">
        <v>5</v>
      </c>
      <c r="C42" t="s">
        <v>6</v>
      </c>
      <c r="D42" t="s">
        <v>20</v>
      </c>
      <c r="E42" t="s">
        <v>8</v>
      </c>
      <c r="F42">
        <v>80</v>
      </c>
    </row>
    <row r="43" spans="1:6" x14ac:dyDescent="0.35">
      <c r="A43" s="1">
        <v>44603.945138888892</v>
      </c>
      <c r="B43" t="s">
        <v>5</v>
      </c>
      <c r="C43" t="s">
        <v>6</v>
      </c>
      <c r="D43" t="s">
        <v>48</v>
      </c>
      <c r="E43" t="s">
        <v>8</v>
      </c>
      <c r="F43">
        <v>373</v>
      </c>
    </row>
    <row r="44" spans="1:6" x14ac:dyDescent="0.35">
      <c r="A44" s="1">
        <v>44602.84375</v>
      </c>
      <c r="B44" t="s">
        <v>5</v>
      </c>
      <c r="C44" t="s">
        <v>6</v>
      </c>
      <c r="D44" t="s">
        <v>42</v>
      </c>
      <c r="E44" t="s">
        <v>8</v>
      </c>
      <c r="F44">
        <v>641</v>
      </c>
    </row>
    <row r="45" spans="1:6" x14ac:dyDescent="0.35">
      <c r="A45" s="1">
        <v>44598.772222222222</v>
      </c>
      <c r="B45" t="s">
        <v>5</v>
      </c>
      <c r="C45" t="s">
        <v>6</v>
      </c>
      <c r="D45" t="s">
        <v>51</v>
      </c>
      <c r="E45" t="s">
        <v>8</v>
      </c>
      <c r="F45">
        <v>125</v>
      </c>
    </row>
    <row r="46" spans="1:6" x14ac:dyDescent="0.35">
      <c r="A46" s="1">
        <v>44598.745138888888</v>
      </c>
      <c r="B46" t="s">
        <v>5</v>
      </c>
      <c r="C46" t="s">
        <v>6</v>
      </c>
      <c r="D46" t="s">
        <v>52</v>
      </c>
      <c r="E46" t="s">
        <v>8</v>
      </c>
      <c r="F46">
        <v>150</v>
      </c>
    </row>
    <row r="47" spans="1:6" x14ac:dyDescent="0.35">
      <c r="A47" s="1">
        <v>44596.852777777778</v>
      </c>
      <c r="B47" t="s">
        <v>5</v>
      </c>
      <c r="C47" t="s">
        <v>6</v>
      </c>
      <c r="D47" t="s">
        <v>56</v>
      </c>
      <c r="E47" t="s">
        <v>8</v>
      </c>
      <c r="F47">
        <v>80</v>
      </c>
    </row>
    <row r="48" spans="1:6" x14ac:dyDescent="0.35">
      <c r="A48" s="1">
        <v>44595.620138888888</v>
      </c>
      <c r="B48" t="s">
        <v>5</v>
      </c>
      <c r="C48" t="s">
        <v>6</v>
      </c>
      <c r="D48" t="s">
        <v>57</v>
      </c>
      <c r="E48" t="s">
        <v>8</v>
      </c>
      <c r="F48">
        <v>50</v>
      </c>
    </row>
    <row r="49" spans="1:6" x14ac:dyDescent="0.35">
      <c r="A49" s="1">
        <v>44594.84375</v>
      </c>
      <c r="B49" t="s">
        <v>5</v>
      </c>
      <c r="C49" t="s">
        <v>6</v>
      </c>
      <c r="D49" t="s">
        <v>59</v>
      </c>
      <c r="E49" t="s">
        <v>8</v>
      </c>
      <c r="F49">
        <v>120</v>
      </c>
    </row>
    <row r="50" spans="1:6" x14ac:dyDescent="0.35">
      <c r="A50" s="1">
        <v>44591.803472222222</v>
      </c>
      <c r="B50" t="s">
        <v>5</v>
      </c>
      <c r="C50" t="s">
        <v>6</v>
      </c>
      <c r="D50" t="s">
        <v>11</v>
      </c>
      <c r="E50" t="s">
        <v>8</v>
      </c>
      <c r="F50">
        <v>155</v>
      </c>
    </row>
    <row r="51" spans="1:6" x14ac:dyDescent="0.35">
      <c r="A51" s="1">
        <v>44591.792361111111</v>
      </c>
      <c r="B51" t="s">
        <v>5</v>
      </c>
      <c r="C51" t="s">
        <v>6</v>
      </c>
      <c r="D51" t="s">
        <v>63</v>
      </c>
      <c r="E51" t="s">
        <v>8</v>
      </c>
      <c r="F51">
        <v>120</v>
      </c>
    </row>
    <row r="52" spans="1:6" x14ac:dyDescent="0.35">
      <c r="A52" s="1">
        <v>44591.519444444442</v>
      </c>
      <c r="B52" t="s">
        <v>5</v>
      </c>
      <c r="C52" t="s">
        <v>6</v>
      </c>
      <c r="D52" t="s">
        <v>64</v>
      </c>
      <c r="E52" t="s">
        <v>8</v>
      </c>
      <c r="F52">
        <v>105</v>
      </c>
    </row>
    <row r="53" spans="1:6" x14ac:dyDescent="0.35">
      <c r="A53" s="1">
        <v>44589.915277777778</v>
      </c>
      <c r="B53" t="s">
        <v>5</v>
      </c>
      <c r="C53" t="s">
        <v>6</v>
      </c>
      <c r="D53" t="s">
        <v>67</v>
      </c>
      <c r="E53" t="s">
        <v>8</v>
      </c>
      <c r="F53">
        <v>10</v>
      </c>
    </row>
    <row r="54" spans="1:6" x14ac:dyDescent="0.35">
      <c r="A54" s="1">
        <v>44589.599305555559</v>
      </c>
      <c r="B54" t="s">
        <v>5</v>
      </c>
      <c r="C54" t="s">
        <v>6</v>
      </c>
      <c r="D54" t="s">
        <v>68</v>
      </c>
      <c r="E54" t="s">
        <v>8</v>
      </c>
      <c r="F54">
        <v>138</v>
      </c>
    </row>
    <row r="55" spans="1:6" x14ac:dyDescent="0.35">
      <c r="A55" s="1">
        <v>44588.568749999999</v>
      </c>
      <c r="B55" t="s">
        <v>5</v>
      </c>
      <c r="C55" t="s">
        <v>6</v>
      </c>
      <c r="D55" t="s">
        <v>70</v>
      </c>
      <c r="E55" t="s">
        <v>8</v>
      </c>
      <c r="F55">
        <v>279</v>
      </c>
    </row>
    <row r="56" spans="1:6" x14ac:dyDescent="0.35">
      <c r="A56" s="1">
        <v>44587.739583333336</v>
      </c>
      <c r="B56" t="s">
        <v>5</v>
      </c>
      <c r="C56" t="s">
        <v>6</v>
      </c>
      <c r="D56" t="s">
        <v>14</v>
      </c>
      <c r="E56" t="s">
        <v>8</v>
      </c>
      <c r="F56">
        <v>115</v>
      </c>
    </row>
    <row r="57" spans="1:6" x14ac:dyDescent="0.35">
      <c r="A57" s="1">
        <v>44587.702777777777</v>
      </c>
      <c r="B57" t="s">
        <v>5</v>
      </c>
      <c r="C57" t="s">
        <v>6</v>
      </c>
      <c r="D57" t="s">
        <v>72</v>
      </c>
      <c r="E57" t="s">
        <v>8</v>
      </c>
      <c r="F57">
        <v>25</v>
      </c>
    </row>
    <row r="58" spans="1:6" x14ac:dyDescent="0.35">
      <c r="A58" s="1">
        <v>44586.565972222219</v>
      </c>
      <c r="B58" t="s">
        <v>5</v>
      </c>
      <c r="C58" t="s">
        <v>6</v>
      </c>
      <c r="D58" t="s">
        <v>73</v>
      </c>
      <c r="E58" t="s">
        <v>8</v>
      </c>
      <c r="F58">
        <v>259</v>
      </c>
    </row>
    <row r="59" spans="1:6" x14ac:dyDescent="0.35">
      <c r="A59" s="1">
        <v>44586.432638888888</v>
      </c>
      <c r="B59" t="s">
        <v>5</v>
      </c>
      <c r="C59" t="s">
        <v>6</v>
      </c>
      <c r="D59" t="s">
        <v>74</v>
      </c>
      <c r="E59" t="s">
        <v>8</v>
      </c>
      <c r="F59">
        <v>18</v>
      </c>
    </row>
    <row r="60" spans="1:6" x14ac:dyDescent="0.35">
      <c r="A60" s="1">
        <v>44585.845138888886</v>
      </c>
      <c r="B60" t="s">
        <v>5</v>
      </c>
      <c r="C60" t="s">
        <v>6</v>
      </c>
      <c r="D60" t="s">
        <v>76</v>
      </c>
      <c r="E60" t="s">
        <v>8</v>
      </c>
      <c r="F60">
        <v>40</v>
      </c>
    </row>
    <row r="61" spans="1:6" x14ac:dyDescent="0.35">
      <c r="A61" s="1">
        <v>44585.588888888888</v>
      </c>
      <c r="B61" t="s">
        <v>5</v>
      </c>
      <c r="C61" t="s">
        <v>6</v>
      </c>
      <c r="D61" t="s">
        <v>68</v>
      </c>
      <c r="E61" t="s">
        <v>8</v>
      </c>
      <c r="F61">
        <v>133</v>
      </c>
    </row>
    <row r="62" spans="1:6" x14ac:dyDescent="0.35">
      <c r="A62" s="1">
        <v>44584.90625</v>
      </c>
      <c r="B62" t="s">
        <v>5</v>
      </c>
      <c r="C62" t="s">
        <v>6</v>
      </c>
      <c r="D62" t="s">
        <v>77</v>
      </c>
      <c r="E62" t="s">
        <v>8</v>
      </c>
      <c r="F62">
        <v>40</v>
      </c>
    </row>
    <row r="63" spans="1:6" x14ac:dyDescent="0.35">
      <c r="A63" s="1">
        <v>44584.90347222222</v>
      </c>
      <c r="B63" t="s">
        <v>5</v>
      </c>
      <c r="C63" t="s">
        <v>6</v>
      </c>
      <c r="D63" t="s">
        <v>11</v>
      </c>
      <c r="E63" t="s">
        <v>8</v>
      </c>
      <c r="F63">
        <v>465</v>
      </c>
    </row>
    <row r="64" spans="1:6" x14ac:dyDescent="0.35">
      <c r="A64" s="1">
        <v>44584.895138888889</v>
      </c>
      <c r="B64" t="s">
        <v>5</v>
      </c>
      <c r="C64" t="s">
        <v>6</v>
      </c>
      <c r="D64" t="s">
        <v>78</v>
      </c>
      <c r="E64" t="s">
        <v>8</v>
      </c>
      <c r="F64">
        <v>300</v>
      </c>
    </row>
    <row r="65" spans="1:6" x14ac:dyDescent="0.35">
      <c r="A65" s="1">
        <v>44584.895138888889</v>
      </c>
      <c r="B65" t="s">
        <v>5</v>
      </c>
      <c r="C65" t="s">
        <v>6</v>
      </c>
      <c r="D65" t="s">
        <v>20</v>
      </c>
      <c r="E65" t="s">
        <v>8</v>
      </c>
      <c r="F65">
        <v>302</v>
      </c>
    </row>
    <row r="66" spans="1:6" x14ac:dyDescent="0.35">
      <c r="A66" s="1">
        <v>44584.893750000003</v>
      </c>
      <c r="B66" t="s">
        <v>5</v>
      </c>
      <c r="C66" t="s">
        <v>6</v>
      </c>
      <c r="D66" t="s">
        <v>79</v>
      </c>
      <c r="E66" t="s">
        <v>8</v>
      </c>
      <c r="F66">
        <v>176</v>
      </c>
    </row>
    <row r="67" spans="1:6" x14ac:dyDescent="0.35">
      <c r="A67" s="1">
        <v>44582.598611111112</v>
      </c>
      <c r="B67" t="s">
        <v>5</v>
      </c>
      <c r="C67" t="s">
        <v>6</v>
      </c>
      <c r="D67" t="s">
        <v>68</v>
      </c>
      <c r="E67" t="s">
        <v>8</v>
      </c>
      <c r="F67">
        <v>188</v>
      </c>
    </row>
    <row r="68" spans="1:6" x14ac:dyDescent="0.35">
      <c r="A68" s="1">
        <v>44582.490972222222</v>
      </c>
      <c r="B68" t="s">
        <v>5</v>
      </c>
      <c r="C68" t="s">
        <v>6</v>
      </c>
      <c r="D68" t="s">
        <v>14</v>
      </c>
      <c r="E68" t="s">
        <v>8</v>
      </c>
      <c r="F68">
        <v>37</v>
      </c>
    </row>
    <row r="69" spans="1:6" x14ac:dyDescent="0.35">
      <c r="A69" s="1">
        <v>44580.602083333331</v>
      </c>
      <c r="B69" t="s">
        <v>5</v>
      </c>
      <c r="C69" t="s">
        <v>6</v>
      </c>
      <c r="D69" t="s">
        <v>81</v>
      </c>
      <c r="E69" t="s">
        <v>8</v>
      </c>
      <c r="F69">
        <v>171</v>
      </c>
    </row>
    <row r="70" spans="1:6" x14ac:dyDescent="0.35">
      <c r="A70" s="1">
        <v>44579.870833333334</v>
      </c>
      <c r="B70" t="s">
        <v>5</v>
      </c>
      <c r="C70" t="s">
        <v>6</v>
      </c>
      <c r="D70" t="s">
        <v>11</v>
      </c>
      <c r="E70" t="s">
        <v>8</v>
      </c>
      <c r="F70">
        <v>301.14999999999998</v>
      </c>
    </row>
    <row r="71" spans="1:6" x14ac:dyDescent="0.35">
      <c r="A71" s="1">
        <v>44579.715277777781</v>
      </c>
      <c r="B71" t="s">
        <v>5</v>
      </c>
      <c r="C71" t="s">
        <v>6</v>
      </c>
      <c r="D71" t="s">
        <v>82</v>
      </c>
      <c r="E71" t="s">
        <v>8</v>
      </c>
      <c r="F71">
        <v>59</v>
      </c>
    </row>
    <row r="72" spans="1:6" x14ac:dyDescent="0.35">
      <c r="A72" s="1">
        <v>44579.57708333333</v>
      </c>
      <c r="B72" t="s">
        <v>5</v>
      </c>
      <c r="C72" t="s">
        <v>6</v>
      </c>
      <c r="D72" t="s">
        <v>68</v>
      </c>
      <c r="E72" t="s">
        <v>8</v>
      </c>
      <c r="F72">
        <v>148</v>
      </c>
    </row>
    <row r="73" spans="1:6" x14ac:dyDescent="0.35">
      <c r="A73" s="1">
        <v>44578.771527777775</v>
      </c>
      <c r="B73" t="s">
        <v>5</v>
      </c>
      <c r="C73" t="s">
        <v>6</v>
      </c>
      <c r="D73" t="s">
        <v>83</v>
      </c>
      <c r="E73" t="s">
        <v>8</v>
      </c>
      <c r="F73">
        <v>100</v>
      </c>
    </row>
    <row r="74" spans="1:6" x14ac:dyDescent="0.35">
      <c r="A74" s="1">
        <v>44576.886111111111</v>
      </c>
      <c r="B74" t="s">
        <v>5</v>
      </c>
      <c r="C74" t="s">
        <v>6</v>
      </c>
      <c r="D74" t="s">
        <v>14</v>
      </c>
      <c r="E74" t="s">
        <v>8</v>
      </c>
      <c r="F74">
        <v>70</v>
      </c>
    </row>
    <row r="75" spans="1:6" x14ac:dyDescent="0.35">
      <c r="A75" s="1">
        <v>44575.70416666667</v>
      </c>
      <c r="B75" t="s">
        <v>5</v>
      </c>
      <c r="C75" t="s">
        <v>6</v>
      </c>
      <c r="D75" t="s">
        <v>90</v>
      </c>
      <c r="E75" t="s">
        <v>8</v>
      </c>
      <c r="F75">
        <v>1530</v>
      </c>
    </row>
    <row r="76" spans="1:6" x14ac:dyDescent="0.35">
      <c r="A76" s="1">
        <v>44574.865277777775</v>
      </c>
      <c r="B76" t="s">
        <v>5</v>
      </c>
      <c r="C76" t="s">
        <v>6</v>
      </c>
      <c r="D76" t="s">
        <v>11</v>
      </c>
      <c r="E76" t="s">
        <v>8</v>
      </c>
      <c r="F76">
        <v>66</v>
      </c>
    </row>
    <row r="77" spans="1:6" x14ac:dyDescent="0.35">
      <c r="A77" s="1">
        <v>44573.559027777781</v>
      </c>
      <c r="B77" t="s">
        <v>5</v>
      </c>
      <c r="C77" t="s">
        <v>6</v>
      </c>
      <c r="D77" t="s">
        <v>18</v>
      </c>
      <c r="E77" t="s">
        <v>8</v>
      </c>
      <c r="F77">
        <v>301.75</v>
      </c>
    </row>
    <row r="78" spans="1:6" x14ac:dyDescent="0.35">
      <c r="A78" s="1">
        <v>44572.588194444441</v>
      </c>
      <c r="B78" t="s">
        <v>5</v>
      </c>
      <c r="C78" t="s">
        <v>6</v>
      </c>
      <c r="D78" t="s">
        <v>92</v>
      </c>
      <c r="E78" t="s">
        <v>8</v>
      </c>
      <c r="F78">
        <v>135.5</v>
      </c>
    </row>
    <row r="79" spans="1:6" x14ac:dyDescent="0.35">
      <c r="A79" s="1">
        <v>44571.586111111108</v>
      </c>
      <c r="B79" t="s">
        <v>5</v>
      </c>
      <c r="C79" t="s">
        <v>6</v>
      </c>
      <c r="D79" t="s">
        <v>93</v>
      </c>
      <c r="E79" t="s">
        <v>8</v>
      </c>
      <c r="F79">
        <v>106</v>
      </c>
    </row>
    <row r="80" spans="1:6" x14ac:dyDescent="0.35">
      <c r="A80" s="1">
        <v>44569.572916666664</v>
      </c>
      <c r="B80" t="s">
        <v>5</v>
      </c>
      <c r="C80" t="s">
        <v>6</v>
      </c>
      <c r="D80" t="s">
        <v>94</v>
      </c>
      <c r="E80" t="s">
        <v>8</v>
      </c>
      <c r="F80">
        <v>535.29999999999995</v>
      </c>
    </row>
    <row r="81" spans="1:6" x14ac:dyDescent="0.35">
      <c r="A81" s="1">
        <v>44568.57708333333</v>
      </c>
      <c r="B81" t="s">
        <v>5</v>
      </c>
      <c r="C81" t="s">
        <v>6</v>
      </c>
      <c r="D81" t="s">
        <v>96</v>
      </c>
      <c r="E81" t="s">
        <v>8</v>
      </c>
      <c r="F81">
        <v>15</v>
      </c>
    </row>
    <row r="82" spans="1:6" x14ac:dyDescent="0.35">
      <c r="A82" s="1">
        <v>44567.873611111114</v>
      </c>
      <c r="B82" t="s">
        <v>5</v>
      </c>
      <c r="C82" t="s">
        <v>6</v>
      </c>
      <c r="D82" t="s">
        <v>98</v>
      </c>
      <c r="E82" t="s">
        <v>8</v>
      </c>
      <c r="F82">
        <v>20</v>
      </c>
    </row>
    <row r="83" spans="1:6" x14ac:dyDescent="0.35">
      <c r="A83" s="1">
        <v>44567.842361111114</v>
      </c>
      <c r="B83" t="s">
        <v>5</v>
      </c>
      <c r="C83" t="s">
        <v>6</v>
      </c>
      <c r="D83" t="s">
        <v>99</v>
      </c>
      <c r="E83" t="s">
        <v>8</v>
      </c>
      <c r="F83">
        <v>877.81</v>
      </c>
    </row>
    <row r="84" spans="1:6" x14ac:dyDescent="0.35">
      <c r="A84" s="1">
        <v>44567.598611111112</v>
      </c>
      <c r="B84" t="s">
        <v>5</v>
      </c>
      <c r="C84" t="s">
        <v>6</v>
      </c>
      <c r="D84" t="s">
        <v>100</v>
      </c>
      <c r="E84" t="s">
        <v>8</v>
      </c>
      <c r="F84">
        <v>10</v>
      </c>
    </row>
    <row r="85" spans="1:6" x14ac:dyDescent="0.35">
      <c r="A85" s="1">
        <v>44566.849305555559</v>
      </c>
      <c r="B85" t="s">
        <v>5</v>
      </c>
      <c r="C85" t="s">
        <v>6</v>
      </c>
      <c r="D85" t="s">
        <v>101</v>
      </c>
      <c r="E85" t="s">
        <v>8</v>
      </c>
      <c r="F85">
        <v>211</v>
      </c>
    </row>
    <row r="86" spans="1:6" x14ac:dyDescent="0.35">
      <c r="A86" s="1">
        <v>44566.612500000003</v>
      </c>
      <c r="B86" t="s">
        <v>5</v>
      </c>
      <c r="C86" t="s">
        <v>6</v>
      </c>
      <c r="D86" t="s">
        <v>104</v>
      </c>
      <c r="E86" t="s">
        <v>8</v>
      </c>
      <c r="F86">
        <v>354</v>
      </c>
    </row>
    <row r="87" spans="1:6" x14ac:dyDescent="0.35">
      <c r="A87" s="1">
        <v>44566.604166666664</v>
      </c>
      <c r="B87" t="s">
        <v>5</v>
      </c>
      <c r="C87" t="s">
        <v>6</v>
      </c>
      <c r="D87" t="s">
        <v>68</v>
      </c>
      <c r="E87" t="s">
        <v>8</v>
      </c>
      <c r="F87">
        <v>388</v>
      </c>
    </row>
    <row r="88" spans="1:6" x14ac:dyDescent="0.35">
      <c r="A88" s="1">
        <v>44565.578472222223</v>
      </c>
      <c r="B88" t="s">
        <v>5</v>
      </c>
      <c r="C88" t="s">
        <v>6</v>
      </c>
      <c r="D88" t="s">
        <v>68</v>
      </c>
      <c r="E88" t="s">
        <v>8</v>
      </c>
      <c r="F88">
        <v>106</v>
      </c>
    </row>
    <row r="89" spans="1:6" x14ac:dyDescent="0.35">
      <c r="A89" s="1">
        <v>44565.331944444442</v>
      </c>
      <c r="B89" t="s">
        <v>5</v>
      </c>
      <c r="C89" t="s">
        <v>6</v>
      </c>
      <c r="D89" t="s">
        <v>111</v>
      </c>
      <c r="E89" t="s">
        <v>8</v>
      </c>
      <c r="F89">
        <v>107</v>
      </c>
    </row>
    <row r="90" spans="1:6" x14ac:dyDescent="0.35">
      <c r="A90" s="1">
        <v>44564.927083333336</v>
      </c>
      <c r="B90" t="s">
        <v>5</v>
      </c>
      <c r="C90" t="s">
        <v>6</v>
      </c>
      <c r="D90" t="s">
        <v>112</v>
      </c>
      <c r="E90" t="s">
        <v>8</v>
      </c>
      <c r="F90">
        <v>10</v>
      </c>
    </row>
    <row r="91" spans="1:6" x14ac:dyDescent="0.35">
      <c r="A91" s="1">
        <v>44564.604861111111</v>
      </c>
      <c r="B91" t="s">
        <v>5</v>
      </c>
      <c r="C91" t="s">
        <v>6</v>
      </c>
      <c r="D91" t="s">
        <v>116</v>
      </c>
      <c r="E91" t="s">
        <v>8</v>
      </c>
      <c r="F91">
        <v>300</v>
      </c>
    </row>
    <row r="92" spans="1:6" x14ac:dyDescent="0.35">
      <c r="A92" s="1">
        <v>44563.855555555558</v>
      </c>
      <c r="B92" t="s">
        <v>5</v>
      </c>
      <c r="C92" t="s">
        <v>6</v>
      </c>
      <c r="D92" t="s">
        <v>119</v>
      </c>
      <c r="E92" t="s">
        <v>8</v>
      </c>
      <c r="F92">
        <v>200</v>
      </c>
    </row>
    <row r="93" spans="1:6" x14ac:dyDescent="0.35">
      <c r="A93" s="1">
        <v>44562.906944444447</v>
      </c>
      <c r="B93" t="s">
        <v>5</v>
      </c>
      <c r="C93" t="s">
        <v>6</v>
      </c>
      <c r="D93" t="s">
        <v>14</v>
      </c>
      <c r="E93" t="s">
        <v>8</v>
      </c>
      <c r="F93">
        <v>85</v>
      </c>
    </row>
    <row r="94" spans="1:6" x14ac:dyDescent="0.35">
      <c r="A94" s="1">
        <v>44560.590277777781</v>
      </c>
      <c r="B94" t="s">
        <v>5</v>
      </c>
      <c r="C94" t="s">
        <v>6</v>
      </c>
      <c r="D94" t="s">
        <v>121</v>
      </c>
      <c r="E94" t="s">
        <v>8</v>
      </c>
      <c r="F94">
        <v>20</v>
      </c>
    </row>
    <row r="95" spans="1:6" x14ac:dyDescent="0.35">
      <c r="A95" s="1">
        <v>44560.529861111114</v>
      </c>
      <c r="B95" t="s">
        <v>5</v>
      </c>
      <c r="C95" t="s">
        <v>6</v>
      </c>
      <c r="D95" t="s">
        <v>123</v>
      </c>
      <c r="E95" t="s">
        <v>8</v>
      </c>
      <c r="F95">
        <v>25</v>
      </c>
    </row>
    <row r="96" spans="1:6" x14ac:dyDescent="0.35">
      <c r="A96" s="1">
        <v>44560.489583333336</v>
      </c>
      <c r="B96" t="s">
        <v>5</v>
      </c>
      <c r="C96" t="s">
        <v>6</v>
      </c>
      <c r="D96" t="s">
        <v>126</v>
      </c>
      <c r="E96" t="s">
        <v>8</v>
      </c>
      <c r="F96">
        <v>20</v>
      </c>
    </row>
    <row r="97" spans="1:6" x14ac:dyDescent="0.35">
      <c r="A97" s="1">
        <v>44558.570833333331</v>
      </c>
      <c r="B97" t="s">
        <v>5</v>
      </c>
      <c r="C97" t="s">
        <v>6</v>
      </c>
      <c r="D97" t="s">
        <v>128</v>
      </c>
      <c r="E97" t="s">
        <v>8</v>
      </c>
      <c r="F97">
        <v>14</v>
      </c>
    </row>
    <row r="98" spans="1:6" x14ac:dyDescent="0.35">
      <c r="A98" s="1">
        <v>44557.572916666664</v>
      </c>
      <c r="B98" t="s">
        <v>5</v>
      </c>
      <c r="C98" t="s">
        <v>6</v>
      </c>
      <c r="D98" t="s">
        <v>129</v>
      </c>
      <c r="E98" t="s">
        <v>8</v>
      </c>
      <c r="F98">
        <v>115</v>
      </c>
    </row>
    <row r="99" spans="1:6" x14ac:dyDescent="0.35">
      <c r="A99" s="1">
        <v>44557.522916666669</v>
      </c>
      <c r="B99" t="s">
        <v>5</v>
      </c>
      <c r="C99" t="s">
        <v>6</v>
      </c>
      <c r="D99" t="s">
        <v>131</v>
      </c>
      <c r="E99" t="s">
        <v>8</v>
      </c>
      <c r="F99">
        <v>50</v>
      </c>
    </row>
    <row r="100" spans="1:6" x14ac:dyDescent="0.35">
      <c r="A100" s="1">
        <v>44555.953472222223</v>
      </c>
      <c r="B100" t="s">
        <v>5</v>
      </c>
      <c r="C100" t="s">
        <v>6</v>
      </c>
      <c r="D100" t="s">
        <v>119</v>
      </c>
      <c r="E100" t="s">
        <v>8</v>
      </c>
      <c r="F100">
        <v>504</v>
      </c>
    </row>
    <row r="101" spans="1:6" x14ac:dyDescent="0.35">
      <c r="A101" s="1">
        <v>44555.709027777775</v>
      </c>
      <c r="B101" t="s">
        <v>5</v>
      </c>
      <c r="C101" t="s">
        <v>6</v>
      </c>
      <c r="D101" t="s">
        <v>135</v>
      </c>
      <c r="E101" t="s">
        <v>8</v>
      </c>
      <c r="F101">
        <v>30</v>
      </c>
    </row>
    <row r="102" spans="1:6" x14ac:dyDescent="0.35">
      <c r="A102" s="1">
        <v>44555.649305555555</v>
      </c>
      <c r="B102" t="s">
        <v>5</v>
      </c>
      <c r="C102" t="s">
        <v>6</v>
      </c>
      <c r="D102" t="s">
        <v>126</v>
      </c>
      <c r="E102" t="s">
        <v>8</v>
      </c>
      <c r="F102">
        <v>30</v>
      </c>
    </row>
    <row r="103" spans="1:6" x14ac:dyDescent="0.35">
      <c r="A103" s="1">
        <v>44555.563888888886</v>
      </c>
      <c r="B103" t="s">
        <v>5</v>
      </c>
      <c r="C103" t="s">
        <v>6</v>
      </c>
      <c r="D103" t="s">
        <v>136</v>
      </c>
      <c r="E103" t="s">
        <v>8</v>
      </c>
      <c r="F103">
        <v>40</v>
      </c>
    </row>
    <row r="104" spans="1:6" x14ac:dyDescent="0.35">
      <c r="A104" s="1">
        <v>44554.607638888891</v>
      </c>
      <c r="B104" t="s">
        <v>5</v>
      </c>
      <c r="C104" t="s">
        <v>6</v>
      </c>
      <c r="D104" t="s">
        <v>68</v>
      </c>
      <c r="E104" t="s">
        <v>8</v>
      </c>
      <c r="F104">
        <v>262</v>
      </c>
    </row>
    <row r="105" spans="1:6" x14ac:dyDescent="0.35">
      <c r="A105" s="1">
        <v>44553.688194444447</v>
      </c>
      <c r="B105" t="s">
        <v>5</v>
      </c>
      <c r="C105" t="s">
        <v>6</v>
      </c>
      <c r="D105" t="s">
        <v>138</v>
      </c>
      <c r="E105" t="s">
        <v>8</v>
      </c>
      <c r="F105">
        <v>15</v>
      </c>
    </row>
    <row r="106" spans="1:6" x14ac:dyDescent="0.35">
      <c r="A106" s="1">
        <v>44553.57708333333</v>
      </c>
      <c r="B106" t="s">
        <v>5</v>
      </c>
      <c r="C106" t="s">
        <v>6</v>
      </c>
      <c r="D106" t="s">
        <v>139</v>
      </c>
      <c r="E106" t="s">
        <v>8</v>
      </c>
      <c r="F106">
        <v>32</v>
      </c>
    </row>
    <row r="107" spans="1:6" x14ac:dyDescent="0.35">
      <c r="A107" s="1">
        <v>44551.870138888888</v>
      </c>
      <c r="B107" t="s">
        <v>5</v>
      </c>
      <c r="C107" t="s">
        <v>6</v>
      </c>
      <c r="D107" t="s">
        <v>119</v>
      </c>
      <c r="E107" t="s">
        <v>8</v>
      </c>
      <c r="F107">
        <v>239</v>
      </c>
    </row>
    <row r="108" spans="1:6" x14ac:dyDescent="0.35">
      <c r="A108" s="1">
        <v>44551.584722222222</v>
      </c>
      <c r="B108" t="s">
        <v>5</v>
      </c>
      <c r="C108" t="s">
        <v>6</v>
      </c>
      <c r="D108" t="s">
        <v>140</v>
      </c>
      <c r="E108" t="s">
        <v>8</v>
      </c>
      <c r="F108">
        <v>25</v>
      </c>
    </row>
    <row r="109" spans="1:6" x14ac:dyDescent="0.35">
      <c r="A109" s="1">
        <v>44551.488194444442</v>
      </c>
      <c r="B109" t="s">
        <v>5</v>
      </c>
      <c r="C109" t="s">
        <v>6</v>
      </c>
      <c r="D109" t="s">
        <v>141</v>
      </c>
      <c r="E109" t="s">
        <v>8</v>
      </c>
      <c r="F109">
        <v>18</v>
      </c>
    </row>
    <row r="110" spans="1:6" x14ac:dyDescent="0.35">
      <c r="A110" s="1">
        <v>44550.807638888888</v>
      </c>
      <c r="B110" t="s">
        <v>5</v>
      </c>
      <c r="C110" t="s">
        <v>6</v>
      </c>
      <c r="D110" t="s">
        <v>136</v>
      </c>
      <c r="E110" t="s">
        <v>8</v>
      </c>
      <c r="F110">
        <v>80</v>
      </c>
    </row>
    <row r="111" spans="1:6" x14ac:dyDescent="0.35">
      <c r="A111" s="1">
        <v>44550.704861111109</v>
      </c>
      <c r="B111" t="s">
        <v>5</v>
      </c>
      <c r="C111" t="s">
        <v>6</v>
      </c>
      <c r="D111" t="s">
        <v>14</v>
      </c>
      <c r="E111" t="s">
        <v>8</v>
      </c>
      <c r="F111">
        <v>20</v>
      </c>
    </row>
    <row r="112" spans="1:6" x14ac:dyDescent="0.35">
      <c r="A112" s="1">
        <v>44550.645138888889</v>
      </c>
      <c r="B112" t="s">
        <v>5</v>
      </c>
      <c r="C112" t="s">
        <v>6</v>
      </c>
      <c r="D112" t="s">
        <v>126</v>
      </c>
      <c r="E112" t="s">
        <v>8</v>
      </c>
      <c r="F112">
        <v>20</v>
      </c>
    </row>
    <row r="113" spans="1:6" x14ac:dyDescent="0.35">
      <c r="A113" s="1">
        <v>44550.565972222219</v>
      </c>
      <c r="B113" t="s">
        <v>5</v>
      </c>
      <c r="C113" t="s">
        <v>6</v>
      </c>
      <c r="D113" t="s">
        <v>129</v>
      </c>
      <c r="E113" t="s">
        <v>8</v>
      </c>
      <c r="F113">
        <v>85</v>
      </c>
    </row>
    <row r="114" spans="1:6" x14ac:dyDescent="0.35">
      <c r="A114" s="1">
        <v>44550.406944444447</v>
      </c>
      <c r="B114" t="s">
        <v>5</v>
      </c>
      <c r="C114" t="s">
        <v>6</v>
      </c>
      <c r="D114" t="s">
        <v>136</v>
      </c>
      <c r="E114" t="s">
        <v>8</v>
      </c>
      <c r="F114">
        <v>40</v>
      </c>
    </row>
    <row r="115" spans="1:6" x14ac:dyDescent="0.35">
      <c r="A115" s="1">
        <v>44548.875</v>
      </c>
      <c r="B115" t="s">
        <v>5</v>
      </c>
      <c r="C115" t="s">
        <v>6</v>
      </c>
      <c r="D115" t="s">
        <v>145</v>
      </c>
      <c r="E115" t="s">
        <v>8</v>
      </c>
      <c r="F115">
        <v>113</v>
      </c>
    </row>
    <row r="116" spans="1:6" x14ac:dyDescent="0.35">
      <c r="A116" s="1">
        <v>44548.59652777778</v>
      </c>
      <c r="B116" t="s">
        <v>5</v>
      </c>
      <c r="C116" t="s">
        <v>6</v>
      </c>
      <c r="D116" t="s">
        <v>20</v>
      </c>
      <c r="E116" t="s">
        <v>8</v>
      </c>
      <c r="F116">
        <v>160</v>
      </c>
    </row>
    <row r="117" spans="1:6" x14ac:dyDescent="0.35">
      <c r="A117" s="1">
        <v>44547.787499999999</v>
      </c>
      <c r="B117" t="s">
        <v>5</v>
      </c>
      <c r="C117" t="s">
        <v>6</v>
      </c>
      <c r="D117" t="s">
        <v>136</v>
      </c>
      <c r="E117" t="s">
        <v>8</v>
      </c>
      <c r="F117">
        <v>70</v>
      </c>
    </row>
    <row r="118" spans="1:6" x14ac:dyDescent="0.35">
      <c r="A118" s="1">
        <v>44547.614583333336</v>
      </c>
      <c r="B118" t="s">
        <v>5</v>
      </c>
      <c r="C118" t="s">
        <v>6</v>
      </c>
      <c r="D118" t="s">
        <v>68</v>
      </c>
      <c r="E118" t="s">
        <v>8</v>
      </c>
      <c r="F118">
        <v>110</v>
      </c>
    </row>
    <row r="119" spans="1:6" x14ac:dyDescent="0.35">
      <c r="A119" s="1">
        <v>44546.780555555553</v>
      </c>
      <c r="B119" t="s">
        <v>5</v>
      </c>
      <c r="C119" t="s">
        <v>6</v>
      </c>
      <c r="D119" t="s">
        <v>149</v>
      </c>
      <c r="E119" t="s">
        <v>8</v>
      </c>
      <c r="F119">
        <v>30</v>
      </c>
    </row>
    <row r="120" spans="1:6" x14ac:dyDescent="0.35">
      <c r="A120" s="1">
        <v>44546.774305555555</v>
      </c>
      <c r="B120" t="s">
        <v>5</v>
      </c>
      <c r="C120" t="s">
        <v>6</v>
      </c>
      <c r="D120" t="s">
        <v>150</v>
      </c>
      <c r="E120" t="s">
        <v>8</v>
      </c>
      <c r="F120">
        <v>20</v>
      </c>
    </row>
    <row r="121" spans="1:6" x14ac:dyDescent="0.35">
      <c r="A121" s="1">
        <v>44546.568055555559</v>
      </c>
      <c r="B121" t="s">
        <v>5</v>
      </c>
      <c r="C121" t="s">
        <v>6</v>
      </c>
      <c r="D121" t="s">
        <v>20</v>
      </c>
      <c r="E121" t="s">
        <v>8</v>
      </c>
      <c r="F121">
        <v>30</v>
      </c>
    </row>
    <row r="122" spans="1:6" x14ac:dyDescent="0.35">
      <c r="A122" s="1">
        <v>44546.445833333331</v>
      </c>
      <c r="B122" t="s">
        <v>5</v>
      </c>
      <c r="C122" t="s">
        <v>6</v>
      </c>
      <c r="D122" t="s">
        <v>136</v>
      </c>
      <c r="E122" t="s">
        <v>8</v>
      </c>
      <c r="F122">
        <v>110</v>
      </c>
    </row>
    <row r="123" spans="1:6" x14ac:dyDescent="0.35">
      <c r="A123" s="1">
        <v>44544.995833333334</v>
      </c>
      <c r="B123" t="s">
        <v>5</v>
      </c>
      <c r="C123" t="s">
        <v>6</v>
      </c>
      <c r="D123" t="s">
        <v>20</v>
      </c>
      <c r="E123" t="s">
        <v>8</v>
      </c>
      <c r="F123">
        <v>40</v>
      </c>
    </row>
    <row r="124" spans="1:6" x14ac:dyDescent="0.35">
      <c r="A124" s="1">
        <v>44544.88958333333</v>
      </c>
      <c r="B124" t="s">
        <v>5</v>
      </c>
      <c r="C124" t="s">
        <v>6</v>
      </c>
      <c r="D124" t="s">
        <v>14</v>
      </c>
      <c r="E124" t="s">
        <v>8</v>
      </c>
      <c r="F124">
        <v>75</v>
      </c>
    </row>
    <row r="125" spans="1:6" x14ac:dyDescent="0.35">
      <c r="A125" s="1">
        <v>44544.877083333333</v>
      </c>
      <c r="B125" t="s">
        <v>5</v>
      </c>
      <c r="C125" t="s">
        <v>6</v>
      </c>
      <c r="D125" t="s">
        <v>150</v>
      </c>
      <c r="E125" t="s">
        <v>8</v>
      </c>
      <c r="F125">
        <v>80</v>
      </c>
    </row>
    <row r="126" spans="1:6" x14ac:dyDescent="0.35">
      <c r="A126" s="1">
        <v>44544.637499999997</v>
      </c>
      <c r="B126" t="s">
        <v>5</v>
      </c>
      <c r="C126" t="s">
        <v>6</v>
      </c>
      <c r="D126" t="s">
        <v>14</v>
      </c>
      <c r="E126" t="s">
        <v>8</v>
      </c>
      <c r="F126">
        <v>74</v>
      </c>
    </row>
    <row r="127" spans="1:6" x14ac:dyDescent="0.35">
      <c r="A127" s="1">
        <v>44544.439583333333</v>
      </c>
      <c r="B127" t="s">
        <v>5</v>
      </c>
      <c r="C127" t="s">
        <v>6</v>
      </c>
      <c r="D127" t="s">
        <v>136</v>
      </c>
      <c r="E127" t="s">
        <v>8</v>
      </c>
      <c r="F127">
        <v>65</v>
      </c>
    </row>
    <row r="128" spans="1:6" x14ac:dyDescent="0.35">
      <c r="A128" s="1">
        <v>44542.907638888886</v>
      </c>
      <c r="B128" t="s">
        <v>5</v>
      </c>
      <c r="C128" t="s">
        <v>6</v>
      </c>
      <c r="D128" t="s">
        <v>136</v>
      </c>
      <c r="E128" t="s">
        <v>8</v>
      </c>
      <c r="F128">
        <v>25</v>
      </c>
    </row>
    <row r="129" spans="1:6" x14ac:dyDescent="0.35">
      <c r="A129" s="1">
        <v>44540.901388888888</v>
      </c>
      <c r="B129" t="s">
        <v>5</v>
      </c>
      <c r="C129" t="s">
        <v>6</v>
      </c>
      <c r="D129" t="s">
        <v>152</v>
      </c>
      <c r="E129" t="s">
        <v>8</v>
      </c>
      <c r="F129">
        <v>241</v>
      </c>
    </row>
    <row r="130" spans="1:6" x14ac:dyDescent="0.35">
      <c r="A130" s="1">
        <v>44540.871527777781</v>
      </c>
      <c r="B130" t="s">
        <v>5</v>
      </c>
      <c r="C130" t="s">
        <v>6</v>
      </c>
      <c r="D130" t="s">
        <v>153</v>
      </c>
      <c r="E130" t="s">
        <v>8</v>
      </c>
      <c r="F130">
        <v>195</v>
      </c>
    </row>
    <row r="131" spans="1:6" x14ac:dyDescent="0.35">
      <c r="A131" s="1">
        <v>44539.835416666669</v>
      </c>
      <c r="B131" t="s">
        <v>5</v>
      </c>
      <c r="C131" t="s">
        <v>6</v>
      </c>
      <c r="D131" t="s">
        <v>154</v>
      </c>
      <c r="E131" t="s">
        <v>8</v>
      </c>
      <c r="F131">
        <v>40</v>
      </c>
    </row>
    <row r="132" spans="1:6" x14ac:dyDescent="0.35">
      <c r="A132" s="1">
        <v>44539.584027777775</v>
      </c>
      <c r="B132" t="s">
        <v>5</v>
      </c>
      <c r="C132" t="s">
        <v>6</v>
      </c>
      <c r="D132" t="s">
        <v>68</v>
      </c>
      <c r="E132" t="s">
        <v>8</v>
      </c>
      <c r="F132">
        <v>280</v>
      </c>
    </row>
    <row r="133" spans="1:6" x14ac:dyDescent="0.35">
      <c r="A133" s="1">
        <v>44539.413888888892</v>
      </c>
      <c r="B133" t="s">
        <v>5</v>
      </c>
      <c r="C133" t="s">
        <v>6</v>
      </c>
      <c r="D133" t="s">
        <v>136</v>
      </c>
      <c r="E133" t="s">
        <v>8</v>
      </c>
      <c r="F133">
        <v>25</v>
      </c>
    </row>
    <row r="134" spans="1:6" x14ac:dyDescent="0.35">
      <c r="A134" s="1">
        <v>44539.365972222222</v>
      </c>
      <c r="B134" t="s">
        <v>5</v>
      </c>
      <c r="C134" t="s">
        <v>6</v>
      </c>
      <c r="D134" t="s">
        <v>155</v>
      </c>
      <c r="E134" t="s">
        <v>8</v>
      </c>
      <c r="F134">
        <v>110</v>
      </c>
    </row>
    <row r="135" spans="1:6" x14ac:dyDescent="0.35">
      <c r="A135" s="1">
        <v>44538.59375</v>
      </c>
      <c r="B135" t="s">
        <v>5</v>
      </c>
      <c r="C135" t="s">
        <v>6</v>
      </c>
      <c r="D135" t="s">
        <v>156</v>
      </c>
      <c r="E135" t="s">
        <v>8</v>
      </c>
      <c r="F135">
        <v>100</v>
      </c>
    </row>
    <row r="136" spans="1:6" x14ac:dyDescent="0.35">
      <c r="A136" s="1">
        <v>44538.59375</v>
      </c>
      <c r="B136" t="s">
        <v>157</v>
      </c>
      <c r="C136" t="s">
        <v>6</v>
      </c>
      <c r="D136" t="s">
        <v>158</v>
      </c>
      <c r="E136" t="s">
        <v>8</v>
      </c>
      <c r="F136">
        <v>15</v>
      </c>
    </row>
    <row r="137" spans="1:6" x14ac:dyDescent="0.35">
      <c r="A137" s="1">
        <v>44538.303472222222</v>
      </c>
      <c r="B137" t="s">
        <v>5</v>
      </c>
      <c r="C137" t="s">
        <v>6</v>
      </c>
      <c r="D137" t="s">
        <v>159</v>
      </c>
      <c r="E137" t="s">
        <v>8</v>
      </c>
      <c r="F137">
        <v>10</v>
      </c>
    </row>
    <row r="138" spans="1:6" x14ac:dyDescent="0.35">
      <c r="A138" s="1">
        <v>44537.412499999999</v>
      </c>
      <c r="B138" t="s">
        <v>5</v>
      </c>
      <c r="C138" t="s">
        <v>6</v>
      </c>
      <c r="D138" t="s">
        <v>136</v>
      </c>
      <c r="E138" t="s">
        <v>8</v>
      </c>
      <c r="F138">
        <v>25</v>
      </c>
    </row>
    <row r="139" spans="1:6" x14ac:dyDescent="0.35">
      <c r="A139" s="1">
        <v>44537.332638888889</v>
      </c>
      <c r="B139" t="s">
        <v>5</v>
      </c>
      <c r="C139" t="s">
        <v>6</v>
      </c>
      <c r="D139" t="s">
        <v>160</v>
      </c>
      <c r="E139" t="s">
        <v>8</v>
      </c>
      <c r="F139">
        <v>15</v>
      </c>
    </row>
    <row r="140" spans="1:6" x14ac:dyDescent="0.35">
      <c r="A140" s="1">
        <v>44536.915972222225</v>
      </c>
      <c r="B140" t="s">
        <v>5</v>
      </c>
      <c r="C140" t="s">
        <v>6</v>
      </c>
      <c r="D140" t="s">
        <v>136</v>
      </c>
      <c r="E140" t="s">
        <v>8</v>
      </c>
      <c r="F140">
        <v>25</v>
      </c>
    </row>
    <row r="141" spans="1:6" x14ac:dyDescent="0.35">
      <c r="A141" s="1">
        <v>44536.588888888888</v>
      </c>
      <c r="B141" t="s">
        <v>5</v>
      </c>
      <c r="C141" t="s">
        <v>6</v>
      </c>
      <c r="D141" t="s">
        <v>156</v>
      </c>
      <c r="E141" t="s">
        <v>8</v>
      </c>
      <c r="F141">
        <v>150</v>
      </c>
    </row>
    <row r="142" spans="1:6" x14ac:dyDescent="0.35">
      <c r="A142" s="1">
        <v>44535.822916666664</v>
      </c>
      <c r="B142" t="s">
        <v>5</v>
      </c>
      <c r="C142" t="s">
        <v>6</v>
      </c>
      <c r="D142" t="s">
        <v>136</v>
      </c>
      <c r="E142" t="s">
        <v>8</v>
      </c>
      <c r="F142">
        <v>25</v>
      </c>
    </row>
    <row r="143" spans="1:6" x14ac:dyDescent="0.35">
      <c r="A143" s="1">
        <v>44534.878472222219</v>
      </c>
      <c r="B143" t="s">
        <v>5</v>
      </c>
      <c r="C143" t="s">
        <v>6</v>
      </c>
      <c r="D143" t="s">
        <v>11</v>
      </c>
      <c r="E143" t="s">
        <v>8</v>
      </c>
      <c r="F143">
        <v>324</v>
      </c>
    </row>
    <row r="144" spans="1:6" x14ac:dyDescent="0.35">
      <c r="A144" s="1">
        <v>44534.847222222219</v>
      </c>
      <c r="B144" t="s">
        <v>5</v>
      </c>
      <c r="C144" t="s">
        <v>6</v>
      </c>
      <c r="D144" t="s">
        <v>76</v>
      </c>
      <c r="E144" t="s">
        <v>8</v>
      </c>
      <c r="F144">
        <v>65</v>
      </c>
    </row>
    <row r="145" spans="1:6" x14ac:dyDescent="0.35">
      <c r="A145" s="1">
        <v>44534.425694444442</v>
      </c>
      <c r="B145" t="s">
        <v>5</v>
      </c>
      <c r="C145" t="s">
        <v>6</v>
      </c>
      <c r="D145" t="s">
        <v>165</v>
      </c>
      <c r="E145" t="s">
        <v>8</v>
      </c>
      <c r="F145">
        <v>200</v>
      </c>
    </row>
    <row r="146" spans="1:6" x14ac:dyDescent="0.35">
      <c r="A146" s="1">
        <v>44533.915972222225</v>
      </c>
      <c r="B146" t="s">
        <v>5</v>
      </c>
      <c r="C146" t="s">
        <v>6</v>
      </c>
      <c r="D146" t="s">
        <v>136</v>
      </c>
      <c r="E146" t="s">
        <v>8</v>
      </c>
      <c r="F146">
        <v>25</v>
      </c>
    </row>
    <row r="147" spans="1:6" x14ac:dyDescent="0.35">
      <c r="A147" s="1">
        <v>44533.894444444442</v>
      </c>
      <c r="B147" t="s">
        <v>5</v>
      </c>
      <c r="C147" t="s">
        <v>6</v>
      </c>
      <c r="D147" t="s">
        <v>76</v>
      </c>
      <c r="E147" t="s">
        <v>8</v>
      </c>
      <c r="F147">
        <v>40</v>
      </c>
    </row>
    <row r="148" spans="1:6" x14ac:dyDescent="0.35">
      <c r="A148" s="1">
        <v>44532.838194444441</v>
      </c>
      <c r="B148" t="s">
        <v>5</v>
      </c>
      <c r="C148" t="s">
        <v>6</v>
      </c>
      <c r="D148" t="s">
        <v>168</v>
      </c>
      <c r="E148" t="s">
        <v>8</v>
      </c>
      <c r="F148">
        <v>504</v>
      </c>
    </row>
    <row r="149" spans="1:6" x14ac:dyDescent="0.35">
      <c r="A149" s="1">
        <v>44532.824999999997</v>
      </c>
      <c r="B149" t="s">
        <v>5</v>
      </c>
      <c r="C149" t="s">
        <v>6</v>
      </c>
      <c r="D149" t="s">
        <v>169</v>
      </c>
      <c r="E149" t="s">
        <v>8</v>
      </c>
      <c r="F149">
        <v>75</v>
      </c>
    </row>
    <row r="150" spans="1:6" x14ac:dyDescent="0.35">
      <c r="A150" s="1">
        <v>44531.583333333336</v>
      </c>
      <c r="B150" t="s">
        <v>5</v>
      </c>
      <c r="C150" t="s">
        <v>6</v>
      </c>
      <c r="D150" t="s">
        <v>68</v>
      </c>
      <c r="E150" t="s">
        <v>8</v>
      </c>
      <c r="F150">
        <v>160</v>
      </c>
    </row>
    <row r="151" spans="1:6" x14ac:dyDescent="0.35">
      <c r="A151" s="1">
        <v>44530.595138888886</v>
      </c>
      <c r="B151" t="s">
        <v>5</v>
      </c>
      <c r="C151" t="s">
        <v>6</v>
      </c>
      <c r="D151" t="s">
        <v>68</v>
      </c>
      <c r="E151" t="s">
        <v>8</v>
      </c>
      <c r="F151">
        <v>128</v>
      </c>
    </row>
    <row r="152" spans="1:6" x14ac:dyDescent="0.35">
      <c r="A152" s="1">
        <v>44530.424305555556</v>
      </c>
      <c r="B152" t="s">
        <v>5</v>
      </c>
      <c r="C152" t="s">
        <v>6</v>
      </c>
      <c r="D152" t="s">
        <v>165</v>
      </c>
      <c r="E152" t="s">
        <v>8</v>
      </c>
      <c r="F152">
        <v>70</v>
      </c>
    </row>
    <row r="153" spans="1:6" x14ac:dyDescent="0.35">
      <c r="A153" s="1">
        <v>44529.865972222222</v>
      </c>
      <c r="B153" t="s">
        <v>5</v>
      </c>
      <c r="C153" t="s">
        <v>6</v>
      </c>
      <c r="D153" t="s">
        <v>68</v>
      </c>
      <c r="E153" t="s">
        <v>8</v>
      </c>
      <c r="F153">
        <v>40</v>
      </c>
    </row>
    <row r="154" spans="1:6" x14ac:dyDescent="0.35">
      <c r="A154" s="1">
        <v>44529.865972222222</v>
      </c>
      <c r="B154" t="s">
        <v>5</v>
      </c>
      <c r="C154" t="s">
        <v>6</v>
      </c>
      <c r="D154" t="s">
        <v>11</v>
      </c>
      <c r="E154" t="s">
        <v>8</v>
      </c>
      <c r="F154">
        <v>50</v>
      </c>
    </row>
    <row r="155" spans="1:6" x14ac:dyDescent="0.35">
      <c r="A155" s="1">
        <v>44529.839583333334</v>
      </c>
      <c r="B155" t="s">
        <v>5</v>
      </c>
      <c r="C155" t="s">
        <v>6</v>
      </c>
      <c r="D155" t="s">
        <v>150</v>
      </c>
      <c r="E155" t="s">
        <v>8</v>
      </c>
      <c r="F155">
        <v>40</v>
      </c>
    </row>
    <row r="156" spans="1:6" x14ac:dyDescent="0.35">
      <c r="A156" s="1">
        <v>44529.395138888889</v>
      </c>
      <c r="B156" t="s">
        <v>5</v>
      </c>
      <c r="C156" t="s">
        <v>6</v>
      </c>
      <c r="D156" t="s">
        <v>165</v>
      </c>
      <c r="E156" t="s">
        <v>8</v>
      </c>
      <c r="F156">
        <v>40</v>
      </c>
    </row>
    <row r="157" spans="1:6" x14ac:dyDescent="0.35">
      <c r="A157" s="1">
        <v>44528.832638888889</v>
      </c>
      <c r="B157" t="s">
        <v>5</v>
      </c>
      <c r="C157" t="s">
        <v>6</v>
      </c>
      <c r="D157" t="s">
        <v>76</v>
      </c>
      <c r="E157" t="s">
        <v>8</v>
      </c>
      <c r="F157">
        <v>94</v>
      </c>
    </row>
    <row r="158" spans="1:6" x14ac:dyDescent="0.35">
      <c r="A158" s="1">
        <v>44528.548611111109</v>
      </c>
      <c r="B158" t="s">
        <v>5</v>
      </c>
      <c r="C158" t="s">
        <v>6</v>
      </c>
      <c r="D158" t="s">
        <v>174</v>
      </c>
      <c r="E158" t="s">
        <v>8</v>
      </c>
      <c r="F158">
        <v>269.39999999999998</v>
      </c>
    </row>
    <row r="159" spans="1:6" x14ac:dyDescent="0.35">
      <c r="A159" s="1">
        <v>44527.968055555553</v>
      </c>
      <c r="B159" t="s">
        <v>5</v>
      </c>
      <c r="C159" t="s">
        <v>6</v>
      </c>
      <c r="D159" t="s">
        <v>175</v>
      </c>
      <c r="E159" t="s">
        <v>8</v>
      </c>
      <c r="F159">
        <v>120</v>
      </c>
    </row>
    <row r="160" spans="1:6" x14ac:dyDescent="0.35">
      <c r="A160" s="1">
        <v>44527.94027777778</v>
      </c>
      <c r="B160" t="s">
        <v>5</v>
      </c>
      <c r="C160" t="s">
        <v>6</v>
      </c>
      <c r="D160" t="s">
        <v>175</v>
      </c>
      <c r="E160" t="s">
        <v>8</v>
      </c>
      <c r="F160">
        <v>130</v>
      </c>
    </row>
    <row r="161" spans="1:6" x14ac:dyDescent="0.35">
      <c r="A161" s="1">
        <v>44527.573611111111</v>
      </c>
      <c r="B161" t="s">
        <v>5</v>
      </c>
      <c r="C161" t="s">
        <v>6</v>
      </c>
      <c r="D161" t="s">
        <v>68</v>
      </c>
      <c r="E161" t="s">
        <v>8</v>
      </c>
      <c r="F161">
        <v>75</v>
      </c>
    </row>
    <row r="162" spans="1:6" x14ac:dyDescent="0.35">
      <c r="A162" s="1">
        <v>44530.6</v>
      </c>
      <c r="B162" t="s">
        <v>5</v>
      </c>
      <c r="C162" t="s">
        <v>172</v>
      </c>
      <c r="D162" t="s">
        <v>173</v>
      </c>
      <c r="E162" t="s">
        <v>8</v>
      </c>
      <c r="F162">
        <v>115</v>
      </c>
    </row>
    <row r="163" spans="1:6" x14ac:dyDescent="0.35">
      <c r="A163" s="1">
        <v>44613.652777777781</v>
      </c>
      <c r="B163" t="s">
        <v>5</v>
      </c>
      <c r="C163" t="s">
        <v>24</v>
      </c>
      <c r="D163" t="s">
        <v>34</v>
      </c>
      <c r="E163" t="s">
        <v>8</v>
      </c>
      <c r="F163">
        <v>336</v>
      </c>
    </row>
    <row r="164" spans="1:6" x14ac:dyDescent="0.35">
      <c r="A164" s="1">
        <v>44604.669444444444</v>
      </c>
      <c r="B164" t="s">
        <v>5</v>
      </c>
      <c r="C164" t="s">
        <v>24</v>
      </c>
      <c r="D164" t="s">
        <v>47</v>
      </c>
      <c r="E164" t="s">
        <v>8</v>
      </c>
      <c r="F164">
        <v>70</v>
      </c>
    </row>
    <row r="165" spans="1:6" x14ac:dyDescent="0.35">
      <c r="A165" s="1">
        <v>44600.387499999997</v>
      </c>
      <c r="B165" t="s">
        <v>5</v>
      </c>
      <c r="C165" t="s">
        <v>24</v>
      </c>
      <c r="D165" t="s">
        <v>49</v>
      </c>
      <c r="E165" t="s">
        <v>8</v>
      </c>
      <c r="F165">
        <v>2099</v>
      </c>
    </row>
    <row r="166" spans="1:6" x14ac:dyDescent="0.35">
      <c r="A166" s="1">
        <v>44569.568055555559</v>
      </c>
      <c r="B166" t="s">
        <v>5</v>
      </c>
      <c r="C166" t="s">
        <v>24</v>
      </c>
      <c r="D166" t="s">
        <v>95</v>
      </c>
      <c r="E166" t="s">
        <v>8</v>
      </c>
      <c r="F166">
        <v>4580</v>
      </c>
    </row>
    <row r="167" spans="1:6" x14ac:dyDescent="0.35">
      <c r="A167" s="1">
        <v>44535.515972222223</v>
      </c>
      <c r="B167" t="s">
        <v>5</v>
      </c>
      <c r="C167" t="s">
        <v>24</v>
      </c>
      <c r="D167" t="s">
        <v>95</v>
      </c>
      <c r="E167" t="s">
        <v>8</v>
      </c>
      <c r="F167">
        <v>4800</v>
      </c>
    </row>
    <row r="168" spans="1:6" x14ac:dyDescent="0.35">
      <c r="A168" s="1">
        <v>44521.5625</v>
      </c>
      <c r="B168" t="s">
        <v>5</v>
      </c>
      <c r="C168" t="s">
        <v>9</v>
      </c>
      <c r="D168" t="s">
        <v>179</v>
      </c>
      <c r="E168" t="s">
        <v>16</v>
      </c>
      <c r="F168">
        <v>2000</v>
      </c>
    </row>
    <row r="169" spans="1:6" x14ac:dyDescent="0.35">
      <c r="A169" s="1">
        <v>44611.268750000003</v>
      </c>
      <c r="B169" t="s">
        <v>5</v>
      </c>
      <c r="C169" t="s">
        <v>9</v>
      </c>
      <c r="D169" t="s">
        <v>40</v>
      </c>
      <c r="E169" t="s">
        <v>8</v>
      </c>
      <c r="F169">
        <v>50</v>
      </c>
    </row>
    <row r="170" spans="1:6" x14ac:dyDescent="0.35">
      <c r="A170" s="1">
        <v>44604.615972222222</v>
      </c>
      <c r="B170" t="s">
        <v>5</v>
      </c>
      <c r="C170" t="s">
        <v>9</v>
      </c>
      <c r="D170" t="s">
        <v>17</v>
      </c>
      <c r="E170" t="s">
        <v>16</v>
      </c>
      <c r="F170">
        <v>10000</v>
      </c>
    </row>
    <row r="171" spans="1:6" x14ac:dyDescent="0.35">
      <c r="A171" s="1">
        <v>44600.442361111112</v>
      </c>
      <c r="B171" t="s">
        <v>5</v>
      </c>
      <c r="C171" t="s">
        <v>9</v>
      </c>
      <c r="D171" t="s">
        <v>17</v>
      </c>
      <c r="E171" t="s">
        <v>16</v>
      </c>
      <c r="F171">
        <v>1000</v>
      </c>
    </row>
    <row r="172" spans="1:6" x14ac:dyDescent="0.35">
      <c r="A172" s="1">
        <v>44598.695138888892</v>
      </c>
      <c r="B172" t="s">
        <v>5</v>
      </c>
      <c r="C172" t="s">
        <v>9</v>
      </c>
      <c r="D172" t="s">
        <v>54</v>
      </c>
      <c r="E172" t="s">
        <v>16</v>
      </c>
      <c r="F172">
        <v>5000</v>
      </c>
    </row>
    <row r="173" spans="1:6" x14ac:dyDescent="0.35">
      <c r="A173" s="1">
        <v>44598.694444444445</v>
      </c>
      <c r="B173" t="s">
        <v>5</v>
      </c>
      <c r="C173" t="s">
        <v>9</v>
      </c>
      <c r="D173" t="s">
        <v>55</v>
      </c>
      <c r="E173" t="s">
        <v>8</v>
      </c>
      <c r="F173">
        <v>1500</v>
      </c>
    </row>
    <row r="174" spans="1:6" x14ac:dyDescent="0.35">
      <c r="A174" s="1">
        <v>44595.374305555553</v>
      </c>
      <c r="B174" t="s">
        <v>5</v>
      </c>
      <c r="C174" t="s">
        <v>9</v>
      </c>
      <c r="D174" t="s">
        <v>58</v>
      </c>
      <c r="E174" t="s">
        <v>8</v>
      </c>
      <c r="F174">
        <v>150</v>
      </c>
    </row>
    <row r="175" spans="1:6" x14ac:dyDescent="0.35">
      <c r="A175" s="1">
        <v>44594.843055555553</v>
      </c>
      <c r="B175" t="s">
        <v>5</v>
      </c>
      <c r="C175" t="s">
        <v>9</v>
      </c>
      <c r="D175" t="s">
        <v>17</v>
      </c>
      <c r="E175" t="s">
        <v>16</v>
      </c>
      <c r="F175">
        <v>500</v>
      </c>
    </row>
    <row r="176" spans="1:6" x14ac:dyDescent="0.35">
      <c r="A176" s="1">
        <v>44592.352083333331</v>
      </c>
      <c r="B176" t="s">
        <v>5</v>
      </c>
      <c r="C176" t="s">
        <v>9</v>
      </c>
      <c r="D176" t="s">
        <v>61</v>
      </c>
      <c r="E176" t="s">
        <v>8</v>
      </c>
      <c r="F176">
        <v>200</v>
      </c>
    </row>
    <row r="177" spans="1:6" x14ac:dyDescent="0.35">
      <c r="A177" s="1">
        <v>44590.613888888889</v>
      </c>
      <c r="B177" t="s">
        <v>5</v>
      </c>
      <c r="C177" t="s">
        <v>9</v>
      </c>
      <c r="D177" t="s">
        <v>66</v>
      </c>
      <c r="E177" t="s">
        <v>8</v>
      </c>
      <c r="F177">
        <v>100</v>
      </c>
    </row>
    <row r="178" spans="1:6" x14ac:dyDescent="0.35">
      <c r="A178" s="1">
        <v>44588.570138888892</v>
      </c>
      <c r="B178" t="s">
        <v>5</v>
      </c>
      <c r="C178" t="s">
        <v>9</v>
      </c>
      <c r="D178" t="s">
        <v>61</v>
      </c>
      <c r="E178" t="s">
        <v>8</v>
      </c>
      <c r="F178">
        <v>300</v>
      </c>
    </row>
    <row r="179" spans="1:6" x14ac:dyDescent="0.35">
      <c r="A179" s="1">
        <v>44588.570138888892</v>
      </c>
      <c r="B179" t="s">
        <v>5</v>
      </c>
      <c r="C179" t="s">
        <v>9</v>
      </c>
      <c r="D179" t="s">
        <v>69</v>
      </c>
      <c r="E179" t="s">
        <v>8</v>
      </c>
      <c r="F179">
        <v>100</v>
      </c>
    </row>
    <row r="180" spans="1:6" x14ac:dyDescent="0.35">
      <c r="A180" s="1">
        <v>44588.568055555559</v>
      </c>
      <c r="B180" t="s">
        <v>5</v>
      </c>
      <c r="C180" t="s">
        <v>9</v>
      </c>
      <c r="D180" t="s">
        <v>15</v>
      </c>
      <c r="E180" t="s">
        <v>16</v>
      </c>
      <c r="F180">
        <v>300</v>
      </c>
    </row>
    <row r="181" spans="1:6" x14ac:dyDescent="0.35">
      <c r="A181" s="1">
        <v>44588.568055555559</v>
      </c>
      <c r="B181" t="s">
        <v>5</v>
      </c>
      <c r="C181" t="s">
        <v>9</v>
      </c>
      <c r="D181" t="s">
        <v>17</v>
      </c>
      <c r="E181" t="s">
        <v>16</v>
      </c>
      <c r="F181">
        <v>1500</v>
      </c>
    </row>
    <row r="182" spans="1:6" x14ac:dyDescent="0.35">
      <c r="A182" s="1">
        <v>44587.739583333336</v>
      </c>
      <c r="B182" t="s">
        <v>5</v>
      </c>
      <c r="C182" t="s">
        <v>9</v>
      </c>
      <c r="D182" t="s">
        <v>71</v>
      </c>
      <c r="E182" t="s">
        <v>16</v>
      </c>
      <c r="F182">
        <v>125</v>
      </c>
    </row>
    <row r="183" spans="1:6" x14ac:dyDescent="0.35">
      <c r="A183" s="1">
        <v>44584.895138888889</v>
      </c>
      <c r="B183" t="s">
        <v>5</v>
      </c>
      <c r="C183" t="s">
        <v>9</v>
      </c>
      <c r="D183" t="s">
        <v>15</v>
      </c>
      <c r="E183" t="s">
        <v>16</v>
      </c>
      <c r="F183">
        <v>310</v>
      </c>
    </row>
    <row r="184" spans="1:6" x14ac:dyDescent="0.35">
      <c r="A184" s="1">
        <v>44584.893750000003</v>
      </c>
      <c r="B184" t="s">
        <v>5</v>
      </c>
      <c r="C184" t="s">
        <v>9</v>
      </c>
      <c r="D184" t="s">
        <v>17</v>
      </c>
      <c r="E184" t="s">
        <v>16</v>
      </c>
      <c r="F184">
        <v>2000</v>
      </c>
    </row>
    <row r="185" spans="1:6" x14ac:dyDescent="0.35">
      <c r="A185" s="1">
        <v>44582.490972222222</v>
      </c>
      <c r="B185" t="s">
        <v>5</v>
      </c>
      <c r="C185" t="s">
        <v>9</v>
      </c>
      <c r="D185" t="s">
        <v>15</v>
      </c>
      <c r="E185" t="s">
        <v>16</v>
      </c>
      <c r="F185">
        <v>200</v>
      </c>
    </row>
    <row r="186" spans="1:6" x14ac:dyDescent="0.35">
      <c r="A186" s="1">
        <v>44579.540972222225</v>
      </c>
      <c r="B186" t="s">
        <v>5</v>
      </c>
      <c r="C186" t="s">
        <v>9</v>
      </c>
      <c r="D186" t="s">
        <v>52</v>
      </c>
      <c r="E186" t="s">
        <v>8</v>
      </c>
      <c r="F186">
        <v>200</v>
      </c>
    </row>
    <row r="187" spans="1:6" x14ac:dyDescent="0.35">
      <c r="A187" s="1">
        <v>44579.540972222225</v>
      </c>
      <c r="B187" t="s">
        <v>5</v>
      </c>
      <c r="C187" t="s">
        <v>9</v>
      </c>
      <c r="D187" t="s">
        <v>17</v>
      </c>
      <c r="E187" t="s">
        <v>16</v>
      </c>
      <c r="F187">
        <v>1000</v>
      </c>
    </row>
    <row r="188" spans="1:6" x14ac:dyDescent="0.35">
      <c r="A188" s="1">
        <v>44576.886111111111</v>
      </c>
      <c r="B188" t="s">
        <v>5</v>
      </c>
      <c r="C188" t="s">
        <v>9</v>
      </c>
      <c r="D188" t="s">
        <v>17</v>
      </c>
      <c r="E188" t="s">
        <v>16</v>
      </c>
      <c r="F188">
        <v>1500</v>
      </c>
    </row>
    <row r="189" spans="1:6" x14ac:dyDescent="0.35">
      <c r="A189" s="1">
        <v>44575.706944444442</v>
      </c>
      <c r="B189" t="s">
        <v>5</v>
      </c>
      <c r="C189" t="s">
        <v>9</v>
      </c>
      <c r="D189" t="s">
        <v>85</v>
      </c>
      <c r="E189" t="s">
        <v>16</v>
      </c>
      <c r="F189">
        <v>170</v>
      </c>
    </row>
    <row r="190" spans="1:6" x14ac:dyDescent="0.35">
      <c r="A190" s="1">
        <v>44575.705555555556</v>
      </c>
      <c r="B190" t="s">
        <v>5</v>
      </c>
      <c r="C190" t="s">
        <v>9</v>
      </c>
      <c r="D190" t="s">
        <v>86</v>
      </c>
      <c r="E190" t="s">
        <v>16</v>
      </c>
      <c r="F190">
        <v>70</v>
      </c>
    </row>
    <row r="191" spans="1:6" x14ac:dyDescent="0.35">
      <c r="A191" s="1">
        <v>44575.705555555556</v>
      </c>
      <c r="B191" t="s">
        <v>5</v>
      </c>
      <c r="C191" t="s">
        <v>9</v>
      </c>
      <c r="D191" t="s">
        <v>87</v>
      </c>
      <c r="E191" t="s">
        <v>16</v>
      </c>
      <c r="F191">
        <v>340</v>
      </c>
    </row>
    <row r="192" spans="1:6" x14ac:dyDescent="0.35">
      <c r="A192" s="1">
        <v>44575.704861111109</v>
      </c>
      <c r="B192" t="s">
        <v>5</v>
      </c>
      <c r="C192" t="s">
        <v>9</v>
      </c>
      <c r="D192" t="s">
        <v>88</v>
      </c>
      <c r="E192" t="s">
        <v>16</v>
      </c>
      <c r="F192">
        <v>240</v>
      </c>
    </row>
    <row r="193" spans="1:6" x14ac:dyDescent="0.35">
      <c r="A193" s="1">
        <v>44575.70416666667</v>
      </c>
      <c r="B193" t="s">
        <v>5</v>
      </c>
      <c r="C193" t="s">
        <v>9</v>
      </c>
      <c r="D193" t="s">
        <v>89</v>
      </c>
      <c r="E193" t="s">
        <v>16</v>
      </c>
      <c r="F193">
        <v>340</v>
      </c>
    </row>
    <row r="194" spans="1:6" x14ac:dyDescent="0.35">
      <c r="A194" s="1">
        <v>44574.798611111109</v>
      </c>
      <c r="B194" t="s">
        <v>5</v>
      </c>
      <c r="C194" t="s">
        <v>9</v>
      </c>
      <c r="D194" t="s">
        <v>17</v>
      </c>
      <c r="E194" t="s">
        <v>16</v>
      </c>
      <c r="F194">
        <v>1000</v>
      </c>
    </row>
    <row r="195" spans="1:6" x14ac:dyDescent="0.35">
      <c r="A195" s="1">
        <v>44573.947222222225</v>
      </c>
      <c r="B195" t="s">
        <v>5</v>
      </c>
      <c r="C195" t="s">
        <v>9</v>
      </c>
      <c r="D195" t="s">
        <v>91</v>
      </c>
      <c r="E195" t="s">
        <v>8</v>
      </c>
      <c r="F195">
        <v>479</v>
      </c>
    </row>
    <row r="196" spans="1:6" x14ac:dyDescent="0.35">
      <c r="A196" s="1">
        <v>44573.559027777781</v>
      </c>
      <c r="B196" t="s">
        <v>5</v>
      </c>
      <c r="C196" t="s">
        <v>9</v>
      </c>
      <c r="D196" t="s">
        <v>19</v>
      </c>
      <c r="E196" t="s">
        <v>16</v>
      </c>
      <c r="F196">
        <v>200</v>
      </c>
    </row>
    <row r="197" spans="1:6" x14ac:dyDescent="0.35">
      <c r="A197" s="1">
        <v>44569.573611111111</v>
      </c>
      <c r="B197" t="s">
        <v>5</v>
      </c>
      <c r="C197" t="s">
        <v>9</v>
      </c>
      <c r="D197" t="s">
        <v>89</v>
      </c>
      <c r="E197" t="s">
        <v>16</v>
      </c>
      <c r="F197">
        <v>260</v>
      </c>
    </row>
    <row r="198" spans="1:6" x14ac:dyDescent="0.35">
      <c r="A198" s="1">
        <v>44567.895833333336</v>
      </c>
      <c r="B198" t="s">
        <v>5</v>
      </c>
      <c r="C198" t="s">
        <v>9</v>
      </c>
      <c r="D198" t="s">
        <v>97</v>
      </c>
      <c r="E198" t="s">
        <v>16</v>
      </c>
      <c r="F198">
        <v>440</v>
      </c>
    </row>
    <row r="199" spans="1:6" x14ac:dyDescent="0.35">
      <c r="A199" s="1">
        <v>44566.615277777775</v>
      </c>
      <c r="B199" t="s">
        <v>5</v>
      </c>
      <c r="C199" t="s">
        <v>9</v>
      </c>
      <c r="D199" t="s">
        <v>102</v>
      </c>
      <c r="E199" t="s">
        <v>8</v>
      </c>
      <c r="F199">
        <v>40</v>
      </c>
    </row>
    <row r="200" spans="1:6" x14ac:dyDescent="0.35">
      <c r="A200" s="1">
        <v>44566.612500000003</v>
      </c>
      <c r="B200" t="s">
        <v>5</v>
      </c>
      <c r="C200" t="s">
        <v>9</v>
      </c>
      <c r="D200" t="s">
        <v>103</v>
      </c>
      <c r="E200" t="s">
        <v>8</v>
      </c>
      <c r="F200">
        <v>30</v>
      </c>
    </row>
    <row r="201" spans="1:6" x14ac:dyDescent="0.35">
      <c r="A201" s="1">
        <v>44566.61041666667</v>
      </c>
      <c r="B201" t="s">
        <v>5</v>
      </c>
      <c r="C201" t="s">
        <v>9</v>
      </c>
      <c r="D201" t="s">
        <v>105</v>
      </c>
      <c r="E201" t="s">
        <v>8</v>
      </c>
      <c r="F201">
        <v>500</v>
      </c>
    </row>
    <row r="202" spans="1:6" x14ac:dyDescent="0.35">
      <c r="A202" s="1">
        <v>44566.609027777777</v>
      </c>
      <c r="B202" t="s">
        <v>5</v>
      </c>
      <c r="C202" t="s">
        <v>9</v>
      </c>
      <c r="D202" t="s">
        <v>106</v>
      </c>
      <c r="E202" t="s">
        <v>8</v>
      </c>
      <c r="F202">
        <v>500</v>
      </c>
    </row>
    <row r="203" spans="1:6" x14ac:dyDescent="0.35">
      <c r="A203" s="1">
        <v>44565.334027777775</v>
      </c>
      <c r="B203" t="s">
        <v>5</v>
      </c>
      <c r="C203" t="s">
        <v>9</v>
      </c>
      <c r="D203" t="s">
        <v>61</v>
      </c>
      <c r="E203" t="s">
        <v>8</v>
      </c>
      <c r="F203">
        <v>80</v>
      </c>
    </row>
    <row r="204" spans="1:6" x14ac:dyDescent="0.35">
      <c r="A204" s="1">
        <v>44564.912499999999</v>
      </c>
      <c r="B204" t="s">
        <v>5</v>
      </c>
      <c r="C204" t="s">
        <v>9</v>
      </c>
      <c r="D204" t="s">
        <v>113</v>
      </c>
      <c r="E204" t="s">
        <v>16</v>
      </c>
      <c r="F204">
        <v>201</v>
      </c>
    </row>
    <row r="205" spans="1:6" x14ac:dyDescent="0.35">
      <c r="A205" s="1">
        <v>44564.883333333331</v>
      </c>
      <c r="B205" t="s">
        <v>5</v>
      </c>
      <c r="C205" t="s">
        <v>9</v>
      </c>
      <c r="D205" t="s">
        <v>114</v>
      </c>
      <c r="E205" t="s">
        <v>16</v>
      </c>
      <c r="F205">
        <v>5</v>
      </c>
    </row>
    <row r="206" spans="1:6" x14ac:dyDescent="0.35">
      <c r="A206" s="1">
        <v>44564.882638888892</v>
      </c>
      <c r="B206" t="s">
        <v>5</v>
      </c>
      <c r="C206" t="s">
        <v>9</v>
      </c>
      <c r="D206" t="s">
        <v>115</v>
      </c>
      <c r="E206" t="s">
        <v>16</v>
      </c>
      <c r="F206">
        <v>140</v>
      </c>
    </row>
    <row r="207" spans="1:6" x14ac:dyDescent="0.35">
      <c r="A207" s="1">
        <v>44564.604166666664</v>
      </c>
      <c r="B207" t="s">
        <v>5</v>
      </c>
      <c r="C207" t="s">
        <v>9</v>
      </c>
      <c r="D207" t="s">
        <v>117</v>
      </c>
      <c r="E207" t="s">
        <v>16</v>
      </c>
      <c r="F207">
        <v>300</v>
      </c>
    </row>
    <row r="208" spans="1:6" x14ac:dyDescent="0.35">
      <c r="A208" s="1">
        <v>44563.856249999997</v>
      </c>
      <c r="B208" t="s">
        <v>5</v>
      </c>
      <c r="C208" t="s">
        <v>9</v>
      </c>
      <c r="D208" t="s">
        <v>118</v>
      </c>
      <c r="E208" t="s">
        <v>8</v>
      </c>
      <c r="F208">
        <v>8</v>
      </c>
    </row>
    <row r="209" spans="1:6" x14ac:dyDescent="0.35">
      <c r="A209" s="1">
        <v>44560.566666666666</v>
      </c>
      <c r="B209" t="s">
        <v>5</v>
      </c>
      <c r="C209" t="s">
        <v>9</v>
      </c>
      <c r="D209" t="s">
        <v>19</v>
      </c>
      <c r="E209" t="s">
        <v>16</v>
      </c>
      <c r="F209">
        <v>30</v>
      </c>
    </row>
    <row r="210" spans="1:6" x14ac:dyDescent="0.35">
      <c r="A210" s="1">
        <v>44560.525694444441</v>
      </c>
      <c r="B210" t="s">
        <v>5</v>
      </c>
      <c r="C210" t="s">
        <v>9</v>
      </c>
      <c r="D210" t="s">
        <v>125</v>
      </c>
      <c r="E210" t="s">
        <v>16</v>
      </c>
      <c r="F210">
        <v>250</v>
      </c>
    </row>
    <row r="211" spans="1:6" x14ac:dyDescent="0.35">
      <c r="A211" s="1">
        <v>44560.489583333336</v>
      </c>
      <c r="B211" t="s">
        <v>5</v>
      </c>
      <c r="C211" t="s">
        <v>9</v>
      </c>
      <c r="D211" t="s">
        <v>117</v>
      </c>
      <c r="E211" t="s">
        <v>16</v>
      </c>
      <c r="F211">
        <v>20</v>
      </c>
    </row>
    <row r="212" spans="1:6" x14ac:dyDescent="0.35">
      <c r="A212" s="1">
        <v>44560.488888888889</v>
      </c>
      <c r="B212" t="s">
        <v>5</v>
      </c>
      <c r="C212" t="s">
        <v>9</v>
      </c>
      <c r="D212" t="s">
        <v>125</v>
      </c>
      <c r="E212" t="s">
        <v>16</v>
      </c>
      <c r="F212">
        <v>250</v>
      </c>
    </row>
    <row r="213" spans="1:6" x14ac:dyDescent="0.35">
      <c r="A213" s="1">
        <v>44557.572222222225</v>
      </c>
      <c r="B213" t="s">
        <v>5</v>
      </c>
      <c r="C213" t="s">
        <v>9</v>
      </c>
      <c r="D213" t="s">
        <v>15</v>
      </c>
      <c r="E213" t="s">
        <v>16</v>
      </c>
      <c r="F213">
        <v>80</v>
      </c>
    </row>
    <row r="214" spans="1:6" x14ac:dyDescent="0.35">
      <c r="A214" s="1">
        <v>44557.522916666669</v>
      </c>
      <c r="B214" t="s">
        <v>5</v>
      </c>
      <c r="C214" t="s">
        <v>9</v>
      </c>
      <c r="D214" t="s">
        <v>130</v>
      </c>
      <c r="E214" t="s">
        <v>16</v>
      </c>
      <c r="F214">
        <v>40</v>
      </c>
    </row>
    <row r="215" spans="1:6" x14ac:dyDescent="0.35">
      <c r="A215" s="1">
        <v>44549.660416666666</v>
      </c>
      <c r="B215" t="s">
        <v>5</v>
      </c>
      <c r="C215" t="s">
        <v>9</v>
      </c>
      <c r="D215" t="s">
        <v>143</v>
      </c>
      <c r="E215" t="s">
        <v>8</v>
      </c>
      <c r="F215">
        <v>100</v>
      </c>
    </row>
    <row r="216" spans="1:6" x14ac:dyDescent="0.35">
      <c r="A216" s="1">
        <v>44548.875694444447</v>
      </c>
      <c r="B216" t="s">
        <v>5</v>
      </c>
      <c r="C216" t="s">
        <v>9</v>
      </c>
      <c r="D216" t="s">
        <v>52</v>
      </c>
      <c r="E216" t="s">
        <v>8</v>
      </c>
      <c r="F216">
        <v>100</v>
      </c>
    </row>
    <row r="217" spans="1:6" x14ac:dyDescent="0.35">
      <c r="A217" s="1">
        <v>44548.875694444447</v>
      </c>
      <c r="B217" t="s">
        <v>5</v>
      </c>
      <c r="C217" t="s">
        <v>9</v>
      </c>
      <c r="D217" t="s">
        <v>144</v>
      </c>
      <c r="E217" t="s">
        <v>8</v>
      </c>
      <c r="F217">
        <v>200</v>
      </c>
    </row>
    <row r="218" spans="1:6" x14ac:dyDescent="0.35">
      <c r="A218" s="1">
        <v>44548.827777777777</v>
      </c>
      <c r="B218" t="s">
        <v>5</v>
      </c>
      <c r="C218" t="s">
        <v>9</v>
      </c>
      <c r="D218" t="s">
        <v>146</v>
      </c>
      <c r="E218" t="s">
        <v>16</v>
      </c>
      <c r="F218">
        <v>400</v>
      </c>
    </row>
    <row r="219" spans="1:6" x14ac:dyDescent="0.35">
      <c r="A219" s="1">
        <v>44547.357638888891</v>
      </c>
      <c r="B219" t="s">
        <v>5</v>
      </c>
      <c r="C219" t="s">
        <v>9</v>
      </c>
      <c r="D219" t="s">
        <v>148</v>
      </c>
      <c r="E219" t="s">
        <v>8</v>
      </c>
      <c r="F219">
        <v>50</v>
      </c>
    </row>
    <row r="220" spans="1:6" x14ac:dyDescent="0.35">
      <c r="A220" s="1">
        <v>44541.347222222219</v>
      </c>
      <c r="B220" t="s">
        <v>5</v>
      </c>
      <c r="C220" t="s">
        <v>9</v>
      </c>
      <c r="D220" t="s">
        <v>151</v>
      </c>
      <c r="E220" t="s">
        <v>16</v>
      </c>
      <c r="F220">
        <v>240</v>
      </c>
    </row>
    <row r="221" spans="1:6" x14ac:dyDescent="0.35">
      <c r="A221" s="1">
        <v>44534.57916666667</v>
      </c>
      <c r="B221" t="s">
        <v>5</v>
      </c>
      <c r="C221" t="s">
        <v>9</v>
      </c>
      <c r="D221" t="s">
        <v>164</v>
      </c>
      <c r="E221" t="s">
        <v>8</v>
      </c>
      <c r="F221">
        <v>30</v>
      </c>
    </row>
    <row r="222" spans="1:6" x14ac:dyDescent="0.35">
      <c r="A222" s="1">
        <v>44526.593055555553</v>
      </c>
      <c r="B222" t="s">
        <v>5</v>
      </c>
      <c r="C222" t="s">
        <v>177</v>
      </c>
      <c r="D222" t="s">
        <v>178</v>
      </c>
      <c r="E222" t="s">
        <v>16</v>
      </c>
      <c r="F222">
        <v>3</v>
      </c>
    </row>
    <row r="223" spans="1:6" x14ac:dyDescent="0.35">
      <c r="A223" s="1">
        <v>44565.923611111109</v>
      </c>
      <c r="B223" t="s">
        <v>5</v>
      </c>
      <c r="C223" t="s">
        <v>110</v>
      </c>
      <c r="D223" t="s">
        <v>110</v>
      </c>
      <c r="E223" t="s">
        <v>16</v>
      </c>
      <c r="F223">
        <v>8000</v>
      </c>
    </row>
    <row r="224" spans="1:6" x14ac:dyDescent="0.35">
      <c r="A224" s="1">
        <v>44555.826388888891</v>
      </c>
      <c r="B224" t="s">
        <v>5</v>
      </c>
      <c r="C224" t="s">
        <v>133</v>
      </c>
      <c r="D224" t="s">
        <v>134</v>
      </c>
      <c r="E224" t="s">
        <v>8</v>
      </c>
      <c r="F224">
        <v>400</v>
      </c>
    </row>
    <row r="225" spans="1:6" x14ac:dyDescent="0.35">
      <c r="A225" s="1">
        <v>44605.912499999999</v>
      </c>
      <c r="B225" t="s">
        <v>5</v>
      </c>
      <c r="C225" t="s">
        <v>22</v>
      </c>
      <c r="D225" t="s">
        <v>45</v>
      </c>
      <c r="E225" t="s">
        <v>8</v>
      </c>
      <c r="F225">
        <v>100</v>
      </c>
    </row>
    <row r="226" spans="1:6" x14ac:dyDescent="0.35">
      <c r="A226" s="1">
        <v>44584.893750000003</v>
      </c>
      <c r="B226" t="s">
        <v>5</v>
      </c>
      <c r="C226" t="s">
        <v>22</v>
      </c>
      <c r="D226" t="s">
        <v>80</v>
      </c>
      <c r="E226" t="s">
        <v>8</v>
      </c>
      <c r="F226">
        <v>200</v>
      </c>
    </row>
    <row r="227" spans="1:6" x14ac:dyDescent="0.35">
      <c r="A227" s="1">
        <v>44554.90902777778</v>
      </c>
      <c r="B227" t="s">
        <v>5</v>
      </c>
      <c r="C227" t="s">
        <v>22</v>
      </c>
      <c r="D227" t="s">
        <v>137</v>
      </c>
      <c r="E227" t="s">
        <v>8</v>
      </c>
      <c r="F227">
        <v>150</v>
      </c>
    </row>
    <row r="228" spans="1:6" x14ac:dyDescent="0.35">
      <c r="A228" s="1">
        <v>44548.82708333333</v>
      </c>
      <c r="B228" t="s">
        <v>5</v>
      </c>
      <c r="C228" t="s">
        <v>22</v>
      </c>
      <c r="D228" t="s">
        <v>147</v>
      </c>
      <c r="E228" t="s">
        <v>8</v>
      </c>
      <c r="F228">
        <v>363.72</v>
      </c>
    </row>
    <row r="229" spans="1:6" x14ac:dyDescent="0.35">
      <c r="A229" s="1">
        <v>44521.713194444441</v>
      </c>
      <c r="B229" t="s">
        <v>5</v>
      </c>
      <c r="C229" t="s">
        <v>12</v>
      </c>
      <c r="D229" t="s">
        <v>176</v>
      </c>
      <c r="E229" t="s">
        <v>8</v>
      </c>
      <c r="F229">
        <v>130</v>
      </c>
    </row>
    <row r="230" spans="1:6" x14ac:dyDescent="0.35">
      <c r="A230" s="1">
        <v>44523.953472222223</v>
      </c>
      <c r="B230" t="s">
        <v>5</v>
      </c>
      <c r="C230" t="s">
        <v>12</v>
      </c>
      <c r="D230" t="s">
        <v>176</v>
      </c>
      <c r="E230" t="s">
        <v>8</v>
      </c>
      <c r="F230">
        <v>50</v>
      </c>
    </row>
    <row r="231" spans="1:6" x14ac:dyDescent="0.35">
      <c r="A231" s="1">
        <v>44524.79583333333</v>
      </c>
      <c r="B231" t="s">
        <v>5</v>
      </c>
      <c r="C231" t="s">
        <v>12</v>
      </c>
      <c r="D231" t="s">
        <v>176</v>
      </c>
      <c r="E231" t="s">
        <v>8</v>
      </c>
      <c r="F231">
        <v>58</v>
      </c>
    </row>
    <row r="232" spans="1:6" x14ac:dyDescent="0.35">
      <c r="A232" s="1">
        <v>44525.852083333331</v>
      </c>
      <c r="B232" t="s">
        <v>5</v>
      </c>
      <c r="C232" t="s">
        <v>12</v>
      </c>
      <c r="D232" t="s">
        <v>176</v>
      </c>
      <c r="E232" t="s">
        <v>8</v>
      </c>
      <c r="F232">
        <v>58</v>
      </c>
    </row>
    <row r="233" spans="1:6" x14ac:dyDescent="0.35">
      <c r="A233" s="1">
        <v>44614.272916666669</v>
      </c>
      <c r="B233" t="s">
        <v>5</v>
      </c>
      <c r="C233" t="s">
        <v>12</v>
      </c>
      <c r="D233" t="s">
        <v>31</v>
      </c>
      <c r="E233" t="s">
        <v>8</v>
      </c>
      <c r="F233">
        <v>120</v>
      </c>
    </row>
    <row r="234" spans="1:6" x14ac:dyDescent="0.35">
      <c r="A234" s="1">
        <v>44613.927083333336</v>
      </c>
      <c r="B234" t="s">
        <v>5</v>
      </c>
      <c r="C234" t="s">
        <v>12</v>
      </c>
      <c r="D234" t="s">
        <v>32</v>
      </c>
      <c r="E234" t="s">
        <v>8</v>
      </c>
      <c r="F234">
        <v>1300</v>
      </c>
    </row>
    <row r="235" spans="1:6" x14ac:dyDescent="0.35">
      <c r="A235" s="1">
        <v>44613.67083333333</v>
      </c>
      <c r="B235" t="s">
        <v>5</v>
      </c>
      <c r="C235" t="s">
        <v>12</v>
      </c>
      <c r="D235" t="s">
        <v>33</v>
      </c>
      <c r="E235" t="s">
        <v>8</v>
      </c>
      <c r="F235">
        <v>138</v>
      </c>
    </row>
    <row r="236" spans="1:6" x14ac:dyDescent="0.35">
      <c r="A236" s="1">
        <v>44613.651388888888</v>
      </c>
      <c r="B236" t="s">
        <v>5</v>
      </c>
      <c r="C236" t="s">
        <v>12</v>
      </c>
      <c r="D236" t="s">
        <v>35</v>
      </c>
      <c r="E236" t="s">
        <v>8</v>
      </c>
      <c r="F236">
        <v>201.8</v>
      </c>
    </row>
    <row r="237" spans="1:6" x14ac:dyDescent="0.35">
      <c r="A237" s="1">
        <v>44611.899305555555</v>
      </c>
      <c r="B237" t="s">
        <v>5</v>
      </c>
      <c r="C237" t="s">
        <v>12</v>
      </c>
      <c r="D237" t="s">
        <v>37</v>
      </c>
      <c r="E237" t="s">
        <v>8</v>
      </c>
      <c r="F237">
        <v>1575</v>
      </c>
    </row>
    <row r="238" spans="1:6" x14ac:dyDescent="0.35">
      <c r="A238" s="1">
        <v>44611.864583333336</v>
      </c>
      <c r="B238" t="s">
        <v>5</v>
      </c>
      <c r="C238" t="s">
        <v>12</v>
      </c>
      <c r="D238" t="s">
        <v>38</v>
      </c>
      <c r="E238" t="s">
        <v>8</v>
      </c>
      <c r="F238">
        <v>200</v>
      </c>
    </row>
    <row r="239" spans="1:6" x14ac:dyDescent="0.35">
      <c r="A239" s="1">
        <v>44611.351388888892</v>
      </c>
      <c r="B239" t="s">
        <v>5</v>
      </c>
      <c r="C239" t="s">
        <v>12</v>
      </c>
      <c r="D239" t="s">
        <v>13</v>
      </c>
      <c r="E239" t="s">
        <v>8</v>
      </c>
      <c r="F239">
        <v>60</v>
      </c>
    </row>
    <row r="240" spans="1:6" x14ac:dyDescent="0.35">
      <c r="A240" s="1">
        <v>44611.262499999997</v>
      </c>
      <c r="B240" t="s">
        <v>5</v>
      </c>
      <c r="C240" t="s">
        <v>12</v>
      </c>
      <c r="D240" t="s">
        <v>41</v>
      </c>
      <c r="E240" t="s">
        <v>8</v>
      </c>
      <c r="F240">
        <v>270</v>
      </c>
    </row>
    <row r="241" spans="1:6" x14ac:dyDescent="0.35">
      <c r="A241" s="1">
        <v>44599.297222222223</v>
      </c>
      <c r="B241" t="s">
        <v>5</v>
      </c>
      <c r="C241" t="s">
        <v>12</v>
      </c>
      <c r="D241" t="s">
        <v>50</v>
      </c>
      <c r="E241" t="s">
        <v>8</v>
      </c>
      <c r="F241">
        <v>214</v>
      </c>
    </row>
    <row r="242" spans="1:6" x14ac:dyDescent="0.35">
      <c r="A242" s="1">
        <v>44598.744444444441</v>
      </c>
      <c r="B242" t="s">
        <v>5</v>
      </c>
      <c r="C242" t="s">
        <v>12</v>
      </c>
      <c r="D242" t="s">
        <v>53</v>
      </c>
      <c r="E242" t="s">
        <v>8</v>
      </c>
      <c r="F242">
        <v>1000</v>
      </c>
    </row>
    <row r="243" spans="1:6" x14ac:dyDescent="0.35">
      <c r="A243" s="1">
        <v>44592.363888888889</v>
      </c>
      <c r="B243" t="s">
        <v>5</v>
      </c>
      <c r="C243" t="s">
        <v>12</v>
      </c>
      <c r="D243" t="s">
        <v>60</v>
      </c>
      <c r="E243" t="s">
        <v>8</v>
      </c>
      <c r="F243">
        <v>50</v>
      </c>
    </row>
    <row r="244" spans="1:6" x14ac:dyDescent="0.35">
      <c r="A244" s="1">
        <v>44592.351388888892</v>
      </c>
      <c r="B244" t="s">
        <v>5</v>
      </c>
      <c r="C244" t="s">
        <v>12</v>
      </c>
      <c r="D244" t="s">
        <v>62</v>
      </c>
      <c r="E244" t="s">
        <v>8</v>
      </c>
      <c r="F244">
        <v>153</v>
      </c>
    </row>
    <row r="245" spans="1:6" x14ac:dyDescent="0.35">
      <c r="A245" s="1">
        <v>44590.913888888892</v>
      </c>
      <c r="B245" t="s">
        <v>5</v>
      </c>
      <c r="C245" t="s">
        <v>12</v>
      </c>
      <c r="D245" t="s">
        <v>65</v>
      </c>
      <c r="E245" t="s">
        <v>8</v>
      </c>
      <c r="F245">
        <v>44</v>
      </c>
    </row>
    <row r="246" spans="1:6" x14ac:dyDescent="0.35">
      <c r="A246" s="1">
        <v>44588.892361111109</v>
      </c>
      <c r="B246" t="s">
        <v>5</v>
      </c>
      <c r="C246" t="s">
        <v>12</v>
      </c>
      <c r="D246" t="s">
        <v>65</v>
      </c>
      <c r="E246" t="s">
        <v>8</v>
      </c>
      <c r="F246">
        <v>43</v>
      </c>
    </row>
    <row r="247" spans="1:6" x14ac:dyDescent="0.35">
      <c r="A247" s="1">
        <v>44586.388888888891</v>
      </c>
      <c r="B247" t="s">
        <v>5</v>
      </c>
      <c r="C247" t="s">
        <v>12</v>
      </c>
      <c r="D247" t="s">
        <v>75</v>
      </c>
      <c r="E247" t="s">
        <v>8</v>
      </c>
      <c r="F247">
        <v>325</v>
      </c>
    </row>
    <row r="248" spans="1:6" x14ac:dyDescent="0.35">
      <c r="A248" s="1">
        <v>44576.886805555558</v>
      </c>
      <c r="B248" t="s">
        <v>5</v>
      </c>
      <c r="C248" t="s">
        <v>12</v>
      </c>
      <c r="D248" t="s">
        <v>84</v>
      </c>
      <c r="E248" t="s">
        <v>8</v>
      </c>
      <c r="F248">
        <v>1365</v>
      </c>
    </row>
    <row r="249" spans="1:6" x14ac:dyDescent="0.35">
      <c r="A249" s="1">
        <v>44574.740972222222</v>
      </c>
      <c r="B249" t="s">
        <v>5</v>
      </c>
      <c r="C249" t="s">
        <v>12</v>
      </c>
      <c r="D249" t="s">
        <v>65</v>
      </c>
      <c r="E249" t="s">
        <v>8</v>
      </c>
      <c r="F249">
        <v>43</v>
      </c>
    </row>
    <row r="250" spans="1:6" x14ac:dyDescent="0.35">
      <c r="A250" s="1">
        <v>44567.491666666669</v>
      </c>
      <c r="B250" t="s">
        <v>5</v>
      </c>
      <c r="C250" t="s">
        <v>12</v>
      </c>
      <c r="D250" t="s">
        <v>65</v>
      </c>
      <c r="E250" t="s">
        <v>8</v>
      </c>
      <c r="F250">
        <v>42</v>
      </c>
    </row>
    <row r="251" spans="1:6" x14ac:dyDescent="0.35">
      <c r="A251" s="1">
        <v>44566.607638888891</v>
      </c>
      <c r="B251" t="s">
        <v>5</v>
      </c>
      <c r="C251" t="s">
        <v>12</v>
      </c>
      <c r="D251" t="s">
        <v>107</v>
      </c>
      <c r="E251" t="s">
        <v>8</v>
      </c>
      <c r="F251">
        <v>60</v>
      </c>
    </row>
    <row r="252" spans="1:6" x14ac:dyDescent="0.35">
      <c r="A252" s="1">
        <v>44563.594444444447</v>
      </c>
      <c r="B252" t="s">
        <v>5</v>
      </c>
      <c r="C252" t="s">
        <v>12</v>
      </c>
      <c r="D252" t="s">
        <v>75</v>
      </c>
      <c r="E252" t="s">
        <v>8</v>
      </c>
      <c r="F252">
        <v>725</v>
      </c>
    </row>
    <row r="253" spans="1:6" x14ac:dyDescent="0.35">
      <c r="A253" s="1">
        <v>44560.580555555556</v>
      </c>
      <c r="B253" t="s">
        <v>5</v>
      </c>
      <c r="C253" t="s">
        <v>12</v>
      </c>
      <c r="D253" t="s">
        <v>122</v>
      </c>
      <c r="E253" t="s">
        <v>8</v>
      </c>
      <c r="F253">
        <v>43</v>
      </c>
    </row>
    <row r="254" spans="1:6" x14ac:dyDescent="0.35">
      <c r="A254" s="1">
        <v>44560.526388888888</v>
      </c>
      <c r="B254" t="s">
        <v>5</v>
      </c>
      <c r="C254" t="s">
        <v>12</v>
      </c>
      <c r="D254" t="s">
        <v>124</v>
      </c>
      <c r="E254" t="s">
        <v>8</v>
      </c>
      <c r="F254">
        <v>199</v>
      </c>
    </row>
    <row r="255" spans="1:6" x14ac:dyDescent="0.35">
      <c r="A255" s="1">
        <v>44560.489583333336</v>
      </c>
      <c r="B255" t="s">
        <v>5</v>
      </c>
      <c r="C255" t="s">
        <v>12</v>
      </c>
      <c r="D255" t="s">
        <v>127</v>
      </c>
      <c r="E255" t="s">
        <v>8</v>
      </c>
      <c r="F255">
        <v>286</v>
      </c>
    </row>
    <row r="256" spans="1:6" x14ac:dyDescent="0.35">
      <c r="A256" s="1">
        <v>44555.865277777775</v>
      </c>
      <c r="B256" t="s">
        <v>5</v>
      </c>
      <c r="C256" t="s">
        <v>12</v>
      </c>
      <c r="D256" t="s">
        <v>132</v>
      </c>
      <c r="E256" t="s">
        <v>8</v>
      </c>
      <c r="F256">
        <v>306</v>
      </c>
    </row>
    <row r="257" spans="1:6" x14ac:dyDescent="0.35">
      <c r="A257" s="1">
        <v>44550.806944444441</v>
      </c>
      <c r="B257" t="s">
        <v>5</v>
      </c>
      <c r="C257" t="s">
        <v>12</v>
      </c>
      <c r="D257" t="s">
        <v>142</v>
      </c>
      <c r="E257" t="s">
        <v>8</v>
      </c>
      <c r="F257">
        <v>80</v>
      </c>
    </row>
    <row r="258" spans="1:6" x14ac:dyDescent="0.35">
      <c r="A258" s="1">
        <v>44527.77847222222</v>
      </c>
      <c r="B258" t="s">
        <v>5</v>
      </c>
      <c r="C258" t="s">
        <v>12</v>
      </c>
      <c r="D258" t="s">
        <v>176</v>
      </c>
      <c r="E258" t="s">
        <v>8</v>
      </c>
      <c r="F258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11B3-593B-4125-A983-6233CF95ABA0}">
  <dimension ref="A1:G23"/>
  <sheetViews>
    <sheetView workbookViewId="0">
      <selection activeCell="C2" sqref="C2"/>
    </sheetView>
  </sheetViews>
  <sheetFormatPr defaultRowHeight="14.5" x14ac:dyDescent="0.35"/>
  <cols>
    <col min="1" max="1" width="15.54296875" bestFit="1" customWidth="1"/>
    <col min="2" max="2" width="15.26953125" bestFit="1" customWidth="1"/>
    <col min="3" max="3" width="11.26953125" bestFit="1" customWidth="1"/>
    <col min="4" max="4" width="12.26953125" bestFit="1" customWidth="1"/>
    <col min="5" max="5" width="16.453125" bestFit="1" customWidth="1"/>
    <col min="6" max="6" width="37.54296875" bestFit="1" customWidth="1"/>
    <col min="7" max="7" width="14.08984375" bestFit="1" customWidth="1"/>
    <col min="8" max="8" width="8.1796875" bestFit="1" customWidth="1"/>
    <col min="9" max="9" width="11.26953125" bestFit="1" customWidth="1"/>
    <col min="10" max="10" width="21.36328125" bestFit="1" customWidth="1"/>
    <col min="11" max="11" width="8.81640625" bestFit="1" customWidth="1"/>
    <col min="12" max="12" width="12" bestFit="1" customWidth="1"/>
    <col min="13" max="13" width="12.54296875" bestFit="1" customWidth="1"/>
    <col min="14" max="14" width="14" bestFit="1" customWidth="1"/>
    <col min="15" max="15" width="9.54296875" bestFit="1" customWidth="1"/>
    <col min="16" max="16" width="12.08984375" bestFit="1" customWidth="1"/>
    <col min="17" max="17" width="11.36328125" bestFit="1" customWidth="1"/>
    <col min="18" max="18" width="8.26953125" bestFit="1" customWidth="1"/>
    <col min="19" max="19" width="9.7265625" bestFit="1" customWidth="1"/>
    <col min="20" max="20" width="16.08984375" bestFit="1" customWidth="1"/>
    <col min="21" max="21" width="12.453125" bestFit="1" customWidth="1"/>
    <col min="22" max="22" width="17.36328125" bestFit="1" customWidth="1"/>
    <col min="23" max="23" width="7.36328125" bestFit="1" customWidth="1"/>
    <col min="24" max="24" width="13.1796875" bestFit="1" customWidth="1"/>
    <col min="25" max="25" width="30.6328125" bestFit="1" customWidth="1"/>
    <col min="26" max="26" width="29.6328125" bestFit="1" customWidth="1"/>
    <col min="27" max="27" width="19.81640625" bestFit="1" customWidth="1"/>
    <col min="28" max="28" width="14.08984375" bestFit="1" customWidth="1"/>
    <col min="29" max="29" width="13" bestFit="1" customWidth="1"/>
    <col min="30" max="30" width="13.26953125" bestFit="1" customWidth="1"/>
    <col min="31" max="31" width="17.26953125" bestFit="1" customWidth="1"/>
    <col min="32" max="32" width="8.7265625" bestFit="1" customWidth="1"/>
    <col min="33" max="33" width="38" bestFit="1" customWidth="1"/>
    <col min="34" max="34" width="11.90625" bestFit="1" customWidth="1"/>
    <col min="35" max="35" width="6.90625" bestFit="1" customWidth="1"/>
    <col min="36" max="36" width="15.08984375" bestFit="1" customWidth="1"/>
    <col min="37" max="37" width="11.6328125" bestFit="1" customWidth="1"/>
    <col min="38" max="38" width="8.36328125" bestFit="1" customWidth="1"/>
    <col min="39" max="39" width="9.81640625" bestFit="1" customWidth="1"/>
    <col min="40" max="40" width="15.36328125" bestFit="1" customWidth="1"/>
    <col min="41" max="41" width="6.54296875" bestFit="1" customWidth="1"/>
    <col min="42" max="42" width="7.453125" bestFit="1" customWidth="1"/>
    <col min="43" max="43" width="8.81640625" bestFit="1" customWidth="1"/>
    <col min="44" max="44" width="21.453125" bestFit="1" customWidth="1"/>
    <col min="45" max="45" width="10.7265625" bestFit="1" customWidth="1"/>
    <col min="46" max="46" width="11.26953125" bestFit="1" customWidth="1"/>
    <col min="47" max="47" width="21.36328125" bestFit="1" customWidth="1"/>
    <col min="48" max="48" width="11.26953125" bestFit="1" customWidth="1"/>
    <col min="49" max="49" width="12" bestFit="1" customWidth="1"/>
    <col min="50" max="50" width="12.54296875" bestFit="1" customWidth="1"/>
    <col min="51" max="51" width="14" bestFit="1" customWidth="1"/>
    <col min="52" max="52" width="9.54296875" bestFit="1" customWidth="1"/>
    <col min="53" max="53" width="12.08984375" bestFit="1" customWidth="1"/>
    <col min="54" max="54" width="11.36328125" bestFit="1" customWidth="1"/>
    <col min="56" max="56" width="9.7265625" bestFit="1" customWidth="1"/>
    <col min="57" max="57" width="20" bestFit="1" customWidth="1"/>
    <col min="59" max="59" width="16.08984375" bestFit="1" customWidth="1"/>
    <col min="60" max="60" width="9.90625" bestFit="1" customWidth="1"/>
    <col min="61" max="61" width="12.453125" bestFit="1" customWidth="1"/>
    <col min="62" max="62" width="17.36328125" bestFit="1" customWidth="1"/>
    <col min="63" max="63" width="13.81640625" bestFit="1" customWidth="1"/>
    <col min="64" max="64" width="7.7265625" bestFit="1" customWidth="1"/>
    <col min="65" max="65" width="18" bestFit="1" customWidth="1"/>
    <col min="66" max="66" width="8.81640625" bestFit="1" customWidth="1"/>
    <col min="67" max="67" width="17.7265625" bestFit="1" customWidth="1"/>
    <col min="68" max="68" width="27.6328125" bestFit="1" customWidth="1"/>
    <col min="69" max="69" width="8.1796875" bestFit="1" customWidth="1"/>
    <col min="71" max="71" width="17.90625" bestFit="1" customWidth="1"/>
    <col min="72" max="72" width="9.26953125" bestFit="1" customWidth="1"/>
    <col min="74" max="74" width="9.6328125" bestFit="1" customWidth="1"/>
    <col min="75" max="75" width="22.1796875" bestFit="1" customWidth="1"/>
    <col min="76" max="76" width="13.1796875" bestFit="1" customWidth="1"/>
    <col min="77" max="77" width="30.6328125" bestFit="1" customWidth="1"/>
    <col min="78" max="78" width="29.6328125" bestFit="1" customWidth="1"/>
    <col min="79" max="79" width="10.26953125" bestFit="1" customWidth="1"/>
    <col min="80" max="80" width="25.54296875" bestFit="1" customWidth="1"/>
    <col min="81" max="81" width="11.81640625" bestFit="1" customWidth="1"/>
    <col min="82" max="82" width="16.7265625" bestFit="1" customWidth="1"/>
    <col min="83" max="83" width="16.08984375" bestFit="1" customWidth="1"/>
    <col min="84" max="84" width="18.1796875" bestFit="1" customWidth="1"/>
    <col min="85" max="85" width="18.81640625" bestFit="1" customWidth="1"/>
    <col min="86" max="86" width="20" bestFit="1" customWidth="1"/>
    <col min="87" max="87" width="13.08984375" bestFit="1" customWidth="1"/>
    <col min="88" max="88" width="7.7265625" bestFit="1" customWidth="1"/>
    <col min="89" max="89" width="23.1796875" bestFit="1" customWidth="1"/>
    <col min="90" max="91" width="7.7265625" bestFit="1" customWidth="1"/>
    <col min="92" max="92" width="15.90625" bestFit="1" customWidth="1"/>
    <col min="93" max="93" width="7.7265625" bestFit="1" customWidth="1"/>
    <col min="95" max="95" width="10.26953125" bestFit="1" customWidth="1"/>
    <col min="96" max="96" width="10.36328125" bestFit="1" customWidth="1"/>
    <col min="97" max="97" width="8.90625" bestFit="1" customWidth="1"/>
    <col min="99" max="99" width="7.7265625" bestFit="1" customWidth="1"/>
    <col min="100" max="100" width="10.1796875" bestFit="1" customWidth="1"/>
    <col min="102" max="102" width="7.7265625" bestFit="1" customWidth="1"/>
    <col min="103" max="103" width="14.453125" bestFit="1" customWidth="1"/>
    <col min="104" max="104" width="14.90625" bestFit="1" customWidth="1"/>
    <col min="105" max="105" width="20.90625" bestFit="1" customWidth="1"/>
    <col min="107" max="107" width="11.26953125" bestFit="1" customWidth="1"/>
    <col min="108" max="108" width="11.36328125" bestFit="1" customWidth="1"/>
    <col min="109" max="109" width="19.81640625" bestFit="1" customWidth="1"/>
    <col min="110" max="110" width="18.54296875" bestFit="1" customWidth="1"/>
    <col min="111" max="112" width="10.26953125" bestFit="1" customWidth="1"/>
    <col min="113" max="113" width="14.08984375" bestFit="1" customWidth="1"/>
    <col min="114" max="114" width="13" bestFit="1" customWidth="1"/>
    <col min="115" max="115" width="13.453125" bestFit="1" customWidth="1"/>
    <col min="116" max="116" width="11.36328125" bestFit="1" customWidth="1"/>
    <col min="117" max="117" width="9.6328125" bestFit="1" customWidth="1"/>
    <col min="120" max="120" width="9.453125" bestFit="1" customWidth="1"/>
    <col min="121" max="121" width="10" bestFit="1" customWidth="1"/>
    <col min="122" max="122" width="13.26953125" bestFit="1" customWidth="1"/>
    <col min="124" max="124" width="17.1796875" bestFit="1" customWidth="1"/>
    <col min="125" max="125" width="16.453125" bestFit="1" customWidth="1"/>
    <col min="127" max="127" width="25.1796875" bestFit="1" customWidth="1"/>
    <col min="128" max="128" width="10.26953125" bestFit="1" customWidth="1"/>
    <col min="130" max="130" width="17.26953125" bestFit="1" customWidth="1"/>
    <col min="132" max="132" width="7.7265625" bestFit="1" customWidth="1"/>
    <col min="135" max="135" width="38" bestFit="1" customWidth="1"/>
    <col min="136" max="136" width="11.90625" bestFit="1" customWidth="1"/>
    <col min="137" max="137" width="9" bestFit="1" customWidth="1"/>
    <col min="138" max="138" width="10.26953125" bestFit="1" customWidth="1"/>
    <col min="139" max="139" width="9.7265625" bestFit="1" customWidth="1"/>
    <col min="140" max="140" width="10.26953125" bestFit="1" customWidth="1"/>
    <col min="141" max="141" width="15.08984375" bestFit="1" customWidth="1"/>
    <col min="142" max="142" width="11.6328125" bestFit="1" customWidth="1"/>
    <col min="144" max="144" width="12.26953125" bestFit="1" customWidth="1"/>
    <col min="145" max="145" width="9.81640625" bestFit="1" customWidth="1"/>
    <col min="146" max="146" width="15.36328125" bestFit="1" customWidth="1"/>
    <col min="150" max="150" width="8.81640625" bestFit="1" customWidth="1"/>
    <col min="151" max="151" width="12.36328125" bestFit="1" customWidth="1"/>
    <col min="152" max="152" width="14.26953125" bestFit="1" customWidth="1"/>
    <col min="153" max="153" width="10.54296875" bestFit="1" customWidth="1"/>
    <col min="154" max="154" width="18.7265625" bestFit="1" customWidth="1"/>
    <col min="155" max="155" width="9.08984375" bestFit="1" customWidth="1"/>
    <col min="156" max="156" width="21.453125" bestFit="1" customWidth="1"/>
    <col min="157" max="157" width="9.6328125" bestFit="1" customWidth="1"/>
    <col min="158" max="158" width="7.7265625" bestFit="1" customWidth="1"/>
    <col min="159" max="159" width="14.1796875" bestFit="1" customWidth="1"/>
    <col min="161" max="161" width="12.26953125" bestFit="1" customWidth="1"/>
  </cols>
  <sheetData>
    <row r="1" spans="1:7" x14ac:dyDescent="0.35">
      <c r="A1" t="s">
        <v>181</v>
      </c>
      <c r="B1" t="s">
        <v>182</v>
      </c>
      <c r="C1" t="s">
        <v>183</v>
      </c>
    </row>
    <row r="2" spans="1:7" x14ac:dyDescent="0.35">
      <c r="A2">
        <f>SUMIF(expense_data_1!E3:E279, expense_data_1!E204, expense_data_1!F3:F279)</f>
        <v>57918.280000000006</v>
      </c>
      <c r="B2">
        <f>SUMIF(expense_data_1!E3:E279, expense_data_1!E258, expense_data_1!F3:F279)</f>
        <v>54754</v>
      </c>
      <c r="C2">
        <f>B2-A2</f>
        <v>-3164.2800000000061</v>
      </c>
    </row>
    <row r="3" spans="1:7" x14ac:dyDescent="0.35">
      <c r="A3" s="5" t="s">
        <v>3</v>
      </c>
      <c r="B3" t="s">
        <v>187</v>
      </c>
    </row>
    <row r="5" spans="1:7" x14ac:dyDescent="0.35">
      <c r="A5" s="5" t="s">
        <v>185</v>
      </c>
      <c r="B5" s="5" t="s">
        <v>186</v>
      </c>
      <c r="F5" s="5" t="s">
        <v>192</v>
      </c>
      <c r="G5" t="s">
        <v>193</v>
      </c>
    </row>
    <row r="6" spans="1:7" x14ac:dyDescent="0.35">
      <c r="A6" s="5" t="s">
        <v>188</v>
      </c>
      <c r="B6" t="s">
        <v>8</v>
      </c>
      <c r="C6" t="s">
        <v>16</v>
      </c>
      <c r="D6" t="s">
        <v>184</v>
      </c>
      <c r="F6" s="6" t="s">
        <v>91</v>
      </c>
      <c r="G6">
        <v>479</v>
      </c>
    </row>
    <row r="7" spans="1:7" x14ac:dyDescent="0.35">
      <c r="A7" s="6" t="s">
        <v>120</v>
      </c>
      <c r="B7" s="4"/>
      <c r="C7" s="4">
        <v>14000</v>
      </c>
      <c r="D7" s="4">
        <v>14000</v>
      </c>
      <c r="F7" s="6" t="s">
        <v>106</v>
      </c>
      <c r="G7">
        <v>500</v>
      </c>
    </row>
    <row r="8" spans="1:7" x14ac:dyDescent="0.35">
      <c r="A8" s="6" t="s">
        <v>27</v>
      </c>
      <c r="B8" s="4">
        <v>3388</v>
      </c>
      <c r="C8" s="4"/>
      <c r="D8" s="4">
        <v>3388</v>
      </c>
      <c r="F8" s="6" t="s">
        <v>55</v>
      </c>
      <c r="G8">
        <v>1500</v>
      </c>
    </row>
    <row r="9" spans="1:7" x14ac:dyDescent="0.35">
      <c r="A9" s="6" t="s">
        <v>170</v>
      </c>
      <c r="B9" s="4">
        <v>196</v>
      </c>
      <c r="C9" s="4"/>
      <c r="D9" s="4">
        <v>196</v>
      </c>
      <c r="F9" s="6" t="s">
        <v>105</v>
      </c>
      <c r="G9">
        <v>500</v>
      </c>
    </row>
    <row r="10" spans="1:7" x14ac:dyDescent="0.35">
      <c r="A10" s="6" t="s">
        <v>108</v>
      </c>
      <c r="B10" s="4">
        <v>1400</v>
      </c>
      <c r="C10" s="4"/>
      <c r="D10" s="4">
        <v>1400</v>
      </c>
      <c r="F10" s="6" t="s">
        <v>61</v>
      </c>
      <c r="G10">
        <v>580</v>
      </c>
    </row>
    <row r="11" spans="1:7" x14ac:dyDescent="0.35">
      <c r="A11" s="6" t="s">
        <v>6</v>
      </c>
      <c r="B11" s="4">
        <v>23396.760000000002</v>
      </c>
      <c r="C11" s="4"/>
      <c r="D11" s="4">
        <v>23396.760000000002</v>
      </c>
      <c r="F11" s="6" t="s">
        <v>184</v>
      </c>
      <c r="G11">
        <v>3559</v>
      </c>
    </row>
    <row r="12" spans="1:7" x14ac:dyDescent="0.35">
      <c r="A12" s="6" t="s">
        <v>172</v>
      </c>
      <c r="B12" s="4">
        <v>115</v>
      </c>
      <c r="C12" s="4"/>
      <c r="D12" s="4">
        <v>115</v>
      </c>
    </row>
    <row r="13" spans="1:7" x14ac:dyDescent="0.35">
      <c r="A13" s="6" t="s">
        <v>24</v>
      </c>
      <c r="B13" s="4">
        <v>12188</v>
      </c>
      <c r="C13" s="4"/>
      <c r="D13" s="4">
        <v>12188</v>
      </c>
    </row>
    <row r="14" spans="1:7" x14ac:dyDescent="0.35">
      <c r="A14" s="6" t="s">
        <v>9</v>
      </c>
      <c r="B14" s="4">
        <v>5117</v>
      </c>
      <c r="C14" s="4">
        <v>32751</v>
      </c>
      <c r="D14" s="4">
        <v>37868</v>
      </c>
    </row>
    <row r="15" spans="1:7" x14ac:dyDescent="0.35">
      <c r="A15" s="6" t="s">
        <v>177</v>
      </c>
      <c r="B15" s="4"/>
      <c r="C15" s="4">
        <v>3</v>
      </c>
      <c r="D15" s="4">
        <v>3</v>
      </c>
    </row>
    <row r="16" spans="1:7" x14ac:dyDescent="0.35">
      <c r="A16" s="6" t="s">
        <v>110</v>
      </c>
      <c r="B16" s="4"/>
      <c r="C16" s="4">
        <v>8000</v>
      </c>
      <c r="D16" s="4">
        <v>8000</v>
      </c>
    </row>
    <row r="17" spans="1:4" x14ac:dyDescent="0.35">
      <c r="A17" s="6" t="s">
        <v>133</v>
      </c>
      <c r="B17" s="4">
        <v>400</v>
      </c>
      <c r="C17" s="4"/>
      <c r="D17" s="4">
        <v>400</v>
      </c>
    </row>
    <row r="18" spans="1:4" x14ac:dyDescent="0.35">
      <c r="A18" s="6" t="s">
        <v>22</v>
      </c>
      <c r="B18" s="4">
        <v>2513.7200000000003</v>
      </c>
      <c r="C18" s="4"/>
      <c r="D18" s="4">
        <v>2513.7200000000003</v>
      </c>
    </row>
    <row r="19" spans="1:4" x14ac:dyDescent="0.35">
      <c r="A19" s="6" t="s">
        <v>12</v>
      </c>
      <c r="B19" s="4">
        <v>9203.7999999999993</v>
      </c>
      <c r="C19" s="4"/>
      <c r="D19" s="4">
        <v>9203.7999999999993</v>
      </c>
    </row>
    <row r="20" spans="1:4" x14ac:dyDescent="0.35">
      <c r="A20" s="6" t="s">
        <v>184</v>
      </c>
      <c r="B20" s="4">
        <v>57918.28</v>
      </c>
      <c r="C20" s="4">
        <v>54754</v>
      </c>
      <c r="D20" s="4">
        <v>112672.28000000001</v>
      </c>
    </row>
    <row r="23" spans="1:4" x14ac:dyDescent="0.35">
      <c r="A23" s="7" t="s">
        <v>194</v>
      </c>
      <c r="B23">
        <f>GETPIVOTDATA("Account2",$A$5,"Income/Expense","Income")-GETPIVOTDATA("Account2",$A$5,"Income/Expense","Expense")</f>
        <v>-3164.2799999999988</v>
      </c>
    </row>
  </sheetData>
  <conditionalFormatting sqref="B6">
    <cfRule type="aboveAverage" dxfId="14" priority="3"/>
    <cfRule type="aboveAverage" dxfId="13" priority="5"/>
  </conditionalFormatting>
  <conditionalFormatting pivot="1" sqref="B9">
    <cfRule type="aboveAverage" dxfId="12" priority="4"/>
  </conditionalFormatting>
  <conditionalFormatting pivot="1" sqref="B7:B19">
    <cfRule type="aboveAverage" dxfId="11" priority="2"/>
  </conditionalFormatting>
  <conditionalFormatting pivot="1" sqref="C7:C19">
    <cfRule type="aboveAverage" dxfId="10" priority="1"/>
  </conditionalFormatting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4F9C-67D1-4283-8290-61921BAD0778}">
  <dimension ref="B6:H20"/>
  <sheetViews>
    <sheetView showGridLines="0" tabSelected="1" zoomScale="115" zoomScaleNormal="115" workbookViewId="0">
      <selection activeCell="K6" sqref="K6"/>
    </sheetView>
  </sheetViews>
  <sheetFormatPr defaultRowHeight="14.5" x14ac:dyDescent="0.35"/>
  <cols>
    <col min="2" max="2" width="11.6328125" customWidth="1"/>
    <col min="3" max="4" width="11.26953125" bestFit="1" customWidth="1"/>
    <col min="5" max="5" width="12.7265625" customWidth="1"/>
    <col min="7" max="7" width="12.54296875" customWidth="1"/>
  </cols>
  <sheetData>
    <row r="6" spans="2:8" ht="18.5" x14ac:dyDescent="0.45">
      <c r="B6" s="10" t="s">
        <v>188</v>
      </c>
      <c r="C6" s="10" t="s">
        <v>8</v>
      </c>
      <c r="D6" s="10" t="s">
        <v>16</v>
      </c>
      <c r="E6" s="10" t="s">
        <v>184</v>
      </c>
      <c r="H6" s="13">
        <v>-3164.2800000000102</v>
      </c>
    </row>
    <row r="7" spans="2:8" x14ac:dyDescent="0.35">
      <c r="B7" s="12" t="s">
        <v>120</v>
      </c>
      <c r="C7" s="11"/>
      <c r="D7" s="11">
        <v>14000</v>
      </c>
      <c r="E7" s="11">
        <v>14000</v>
      </c>
    </row>
    <row r="8" spans="2:8" x14ac:dyDescent="0.35">
      <c r="B8" s="12" t="s">
        <v>27</v>
      </c>
      <c r="C8" s="11">
        <v>3388</v>
      </c>
      <c r="D8" s="11"/>
      <c r="E8" s="11">
        <v>3388</v>
      </c>
    </row>
    <row r="9" spans="2:8" x14ac:dyDescent="0.35">
      <c r="B9" s="12" t="s">
        <v>170</v>
      </c>
      <c r="C9" s="11">
        <v>196</v>
      </c>
      <c r="D9" s="11"/>
      <c r="E9" s="11">
        <v>196</v>
      </c>
    </row>
    <row r="10" spans="2:8" x14ac:dyDescent="0.35">
      <c r="B10" s="12" t="s">
        <v>108</v>
      </c>
      <c r="C10" s="11">
        <v>1400</v>
      </c>
      <c r="D10" s="11"/>
      <c r="E10" s="11">
        <v>1400</v>
      </c>
    </row>
    <row r="11" spans="2:8" x14ac:dyDescent="0.35">
      <c r="B11" s="12" t="s">
        <v>6</v>
      </c>
      <c r="C11" s="11">
        <v>23396.76</v>
      </c>
      <c r="D11" s="11"/>
      <c r="E11" s="11">
        <v>23396.760000000002</v>
      </c>
    </row>
    <row r="12" spans="2:8" x14ac:dyDescent="0.35">
      <c r="B12" s="12" t="s">
        <v>172</v>
      </c>
      <c r="C12" s="11">
        <v>115</v>
      </c>
      <c r="D12" s="11"/>
      <c r="E12" s="11">
        <v>115</v>
      </c>
    </row>
    <row r="13" spans="2:8" x14ac:dyDescent="0.35">
      <c r="B13" s="12" t="s">
        <v>24</v>
      </c>
      <c r="C13" s="11">
        <v>12188</v>
      </c>
      <c r="D13" s="11"/>
      <c r="E13" s="11">
        <v>12188</v>
      </c>
    </row>
    <row r="14" spans="2:8" x14ac:dyDescent="0.35">
      <c r="B14" s="12" t="s">
        <v>9</v>
      </c>
      <c r="C14" s="11">
        <v>5117</v>
      </c>
      <c r="D14" s="11">
        <v>32751</v>
      </c>
      <c r="E14" s="11">
        <v>37868</v>
      </c>
    </row>
    <row r="15" spans="2:8" x14ac:dyDescent="0.35">
      <c r="B15" s="12" t="s">
        <v>177</v>
      </c>
      <c r="C15" s="11"/>
      <c r="D15" s="11">
        <v>3</v>
      </c>
      <c r="E15" s="11">
        <v>3</v>
      </c>
    </row>
    <row r="16" spans="2:8" x14ac:dyDescent="0.35">
      <c r="B16" s="12" t="s">
        <v>110</v>
      </c>
      <c r="C16" s="11"/>
      <c r="D16" s="11">
        <v>8000</v>
      </c>
      <c r="E16" s="11">
        <v>8000</v>
      </c>
    </row>
    <row r="17" spans="2:5" x14ac:dyDescent="0.35">
      <c r="B17" s="12" t="s">
        <v>133</v>
      </c>
      <c r="C17" s="11">
        <v>400</v>
      </c>
      <c r="D17" s="11"/>
      <c r="E17" s="11">
        <v>400</v>
      </c>
    </row>
    <row r="18" spans="2:5" x14ac:dyDescent="0.35">
      <c r="B18" s="12" t="s">
        <v>22</v>
      </c>
      <c r="C18" s="11">
        <v>2513.7200000000003</v>
      </c>
      <c r="D18" s="11"/>
      <c r="E18" s="11">
        <v>2513.7200000000003</v>
      </c>
    </row>
    <row r="19" spans="2:5" x14ac:dyDescent="0.35">
      <c r="B19" s="12" t="s">
        <v>12</v>
      </c>
      <c r="C19" s="11">
        <v>9203.7999999999993</v>
      </c>
      <c r="D19" s="11"/>
      <c r="E19" s="11">
        <v>9203.7999999999993</v>
      </c>
    </row>
    <row r="20" spans="2:5" x14ac:dyDescent="0.35">
      <c r="B20" s="8" t="s">
        <v>184</v>
      </c>
      <c r="C20" s="9">
        <v>57918.28</v>
      </c>
      <c r="D20" s="9">
        <v>54754</v>
      </c>
      <c r="E20" s="9">
        <v>112672.28000000001</v>
      </c>
    </row>
  </sheetData>
  <conditionalFormatting sqref="C6">
    <cfRule type="aboveAverage" dxfId="9" priority="3"/>
    <cfRule type="aboveAverage" dxfId="8" priority="5"/>
  </conditionalFormatting>
  <conditionalFormatting sqref="C9">
    <cfRule type="aboveAverage" dxfId="7" priority="4"/>
  </conditionalFormatting>
  <conditionalFormatting sqref="C7:C19">
    <cfRule type="aboveAverage" dxfId="6" priority="2"/>
  </conditionalFormatting>
  <conditionalFormatting sqref="D7:D19">
    <cfRule type="aboveAverage" dxfId="5" priority="1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expense_data_1</vt:lpstr>
      <vt:lpstr>Detail1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Fariha Afrin</cp:lastModifiedBy>
  <dcterms:created xsi:type="dcterms:W3CDTF">2025-11-03T12:30:38Z</dcterms:created>
  <dcterms:modified xsi:type="dcterms:W3CDTF">2025-11-08T13:15:46Z</dcterms:modified>
</cp:coreProperties>
</file>